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PROJECTS" sheetId="2" state="visible" r:id="rId4"/>
    <sheet name="02_WBS" sheetId="3" state="visible" r:id="rId5"/>
    <sheet name="03_SCHEDULE" sheetId="4" state="visible" r:id="rId6"/>
    <sheet name="04_MONTHLY_COSTS" sheetId="5" state="visible" r:id="rId7"/>
    <sheet name="05_EVM" sheetId="6" state="visible" r:id="rId8"/>
    <sheet name="06_RISKS" sheetId="7" state="visible" r:id="rId9"/>
    <sheet name="07_CHANGES" sheetId="8" state="visible" r:id="rId10"/>
    <sheet name="08_RESOURCES" sheetId="9" state="visible" r:id="rId11"/>
    <sheet name="09_VENDORS" sheetId="10" state="visible" r:id="rId12"/>
    <sheet name="10_MILESTONES" sheetId="11" state="visible" r:id="rId13"/>
    <sheet name="11_KPI_THRESHOLDS" sheetId="12" state="visible" r:id="rId14"/>
    <sheet name="12_DASHBOARD_DAT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<sst xmlns="http://schemas.openxmlformats.org/spreadsheetml/2006/main" count="205" uniqueCount="176">
  <si>
    <t xml:space="preserve">HWSD_Project_Controls_Model.xlsx</t>
  </si>
  <si>
    <t xml:space="preserve">Source-of-truth project-controls workbook for the HWSD Municipal Water Capital Improvement Program (simulated).</t>
  </si>
  <si>
    <t xml:space="preserve">Program BAC: $96,000,000  |  12 projects  |  36-month program (Jan 2025 - Dec 2027)</t>
  </si>
  <si>
    <t xml:space="preserve">Status date (all PV/EV/AC/schedule status is measured as of this date): March 31, 2026 (Month 15 of 36)</t>
  </si>
  <si>
    <t xml:space="preserve">Build status: Phase 1 complete (01_PROJECTS). All other tabs are structural shells only —</t>
  </si>
  <si>
    <t xml:space="preserve">column headers are final, but data has not yet been entered. Each phase of the build populates</t>
  </si>
  <si>
    <t xml:space="preserve">the next tab(s). See the repository README for the full phase sequence.</t>
  </si>
  <si>
    <t xml:space="preserve">Conventions used throughout this workbook:</t>
  </si>
  <si>
    <t xml:space="preserve">  - Blue font = hardcoded input. Black font = formula. Do not hand-edit formula cells.</t>
  </si>
  <si>
    <t xml:space="preserve">  - All dollar figures are in whole USD.</t>
  </si>
  <si>
    <t xml:space="preserve">  - project_id is the join key across every sheet in this workbook and every CSV in /02_data.</t>
  </si>
  <si>
    <t xml:space="preserve">  - This workbook is the controlled source of truth. Power BI and Python read from exports</t>
  </si>
  <si>
    <t xml:space="preserve">    of this workbook or from /02_data/processed — they do not maintain independent copies of</t>
  </si>
  <si>
    <t xml:space="preserve">    baseline data.</t>
  </si>
  <si>
    <t xml:space="preserve">All program, project, cost, schedule, risk, and vendor data in this workbook is synthetic</t>
  </si>
  <si>
    <t xml:space="preserve">and created for portfolio demonstration purposes only.</t>
  </si>
  <si>
    <t xml:space="preserve">Project Master List</t>
  </si>
  <si>
    <t xml:space="preserve">One row per project. project_id is the join key used across every other sheet and CSV in this repository.</t>
  </si>
  <si>
    <t xml:space="preserve">project_id</t>
  </si>
  <si>
    <t xml:space="preserve">project_name</t>
  </si>
  <si>
    <t xml:space="preserve">category</t>
  </si>
  <si>
    <t xml:space="preserve">project_manager</t>
  </si>
  <si>
    <t xml:space="preserve">bac</t>
  </si>
  <si>
    <t xml:space="preserve">pct_of_program_budget</t>
  </si>
  <si>
    <t xml:space="preserve">planned_start</t>
  </si>
  <si>
    <t xml:space="preserve">planned_finish</t>
  </si>
  <si>
    <t xml:space="preserve">planned_duration_months</t>
  </si>
  <si>
    <t xml:space="preserve">status_as_of_status_date</t>
  </si>
  <si>
    <t xml:space="preserve">P01</t>
  </si>
  <si>
    <t xml:space="preserve">Downtown 12-inch Water Main Replacement</t>
  </si>
  <si>
    <t xml:space="preserve">Distribution</t>
  </si>
  <si>
    <t xml:space="preserve">Maria Chen</t>
  </si>
  <si>
    <t xml:space="preserve">Substantially Complete</t>
  </si>
  <si>
    <t xml:space="preserve">P02</t>
  </si>
  <si>
    <t xml:space="preserve">Northside Pump Station Rehabilitation</t>
  </si>
  <si>
    <t xml:space="preserve">Pumping</t>
  </si>
  <si>
    <t xml:space="preserve">David Okafor</t>
  </si>
  <si>
    <t xml:space="preserve">In Construction</t>
  </si>
  <si>
    <t xml:space="preserve">P03</t>
  </si>
  <si>
    <t xml:space="preserve">Central Water Treatment Plant Process Upgrade</t>
  </si>
  <si>
    <t xml:space="preserve">Treatment</t>
  </si>
  <si>
    <t xml:space="preserve">Sarah Whitfield</t>
  </si>
  <si>
    <t xml:space="preserve">P04</t>
  </si>
  <si>
    <t xml:space="preserve">Hilltop Storage Tank Rehabilitation</t>
  </si>
  <si>
    <t xml:space="preserve">Storage</t>
  </si>
  <si>
    <t xml:space="preserve">James Patel</t>
  </si>
  <si>
    <t xml:space="preserve">P05</t>
  </si>
  <si>
    <t xml:space="preserve">Lead Service Line Replacement - Phase 1</t>
  </si>
  <si>
    <t xml:space="preserve">Distribution / Public Health</t>
  </si>
  <si>
    <t xml:space="preserve">P06</t>
  </si>
  <si>
    <t xml:space="preserve">AMI / Smart Meter Modernization</t>
  </si>
  <si>
    <t xml:space="preserve">Metering / Digital</t>
  </si>
  <si>
    <t xml:space="preserve">Angela Torres</t>
  </si>
  <si>
    <t xml:space="preserve">P07</t>
  </si>
  <si>
    <t xml:space="preserve">East Zone Pressure Management Improvements</t>
  </si>
  <si>
    <t xml:space="preserve">Robert Kim</t>
  </si>
  <si>
    <t xml:space="preserve">P08</t>
  </si>
  <si>
    <t xml:space="preserve">Emergency Generator &amp; Electrical Resiliency</t>
  </si>
  <si>
    <t xml:space="preserve">Resiliency</t>
  </si>
  <si>
    <t xml:space="preserve">Design / Early Construction</t>
  </si>
  <si>
    <t xml:space="preserve">P09</t>
  </si>
  <si>
    <t xml:space="preserve">River Crossing Main Rehabilitation</t>
  </si>
  <si>
    <t xml:space="preserve">Mobilization / Early Construction</t>
  </si>
  <si>
    <t xml:space="preserve">P10</t>
  </si>
  <si>
    <t xml:space="preserve">SCADA Controls Modernization</t>
  </si>
  <si>
    <t xml:space="preserve">Digital / Controls</t>
  </si>
  <si>
    <t xml:space="preserve">Planning / Not Started</t>
  </si>
  <si>
    <t xml:space="preserve">P11</t>
  </si>
  <si>
    <t xml:space="preserve">Valve Replacement &amp; Isolation Program</t>
  </si>
  <si>
    <t xml:space="preserve">P12</t>
  </si>
  <si>
    <t xml:space="preserve">Programwide Emergency / Contingency Work</t>
  </si>
  <si>
    <t xml:space="preserve">Contingency</t>
  </si>
  <si>
    <t xml:space="preserve">Program Controls Office</t>
  </si>
  <si>
    <t xml:space="preserve">Ongoing / As-Needed</t>
  </si>
  <si>
    <t xml:space="preserve">PROGRAM TOTAL</t>
  </si>
  <si>
    <t xml:space="preserve">QA check:</t>
  </si>
  <si>
    <t xml:space="preserve">Wbs</t>
  </si>
  <si>
    <t xml:space="preserve">Not yet populated - built in Phase 2 (Work Breakdown Structure). 3-level WBS: Program &gt; Project &gt; Control Account/Phase.</t>
  </si>
  <si>
    <t xml:space="preserve">wbs_code</t>
  </si>
  <si>
    <t xml:space="preserve">level</t>
  </si>
  <si>
    <t xml:space="preserve">parent_wbs_code</t>
  </si>
  <si>
    <t xml:space="preserve">wbs_name</t>
  </si>
  <si>
    <t xml:space="preserve">Schedule</t>
  </si>
  <si>
    <t xml:space="preserve">Not yet populated - built in Phase 2 (Baseline Schedule).</t>
  </si>
  <si>
    <t xml:space="preserve">activity_id</t>
  </si>
  <si>
    <t xml:space="preserve">activity_name</t>
  </si>
  <si>
    <t xml:space="preserve">baseline_start</t>
  </si>
  <si>
    <t xml:space="preserve">baseline_finish</t>
  </si>
  <si>
    <t xml:space="preserve">forecast_start</t>
  </si>
  <si>
    <t xml:space="preserve">forecast_finish</t>
  </si>
  <si>
    <t xml:space="preserve">actual_start</t>
  </si>
  <si>
    <t xml:space="preserve">actual_finish</t>
  </si>
  <si>
    <t xml:space="preserve">duration_days</t>
  </si>
  <si>
    <t xml:space="preserve">predecessor</t>
  </si>
  <si>
    <t xml:space="preserve">percent_complete</t>
  </si>
  <si>
    <t xml:space="preserve">is_milestone</t>
  </si>
  <si>
    <t xml:space="preserve">critical_flag</t>
  </si>
  <si>
    <t xml:space="preserve">Monthly Costs</t>
  </si>
  <si>
    <t xml:space="preserve">Not yet populated - built in Phase 3 (Monthly Cost Model). Baseline monthly spend per project must sum to that project's BAC.</t>
  </si>
  <si>
    <t xml:space="preserve">month</t>
  </si>
  <si>
    <t xml:space="preserve">baseline_monthly</t>
  </si>
  <si>
    <t xml:space="preserve">baseline_cumulative</t>
  </si>
  <si>
    <t xml:space="preserve">actual_monthly</t>
  </si>
  <si>
    <t xml:space="preserve">actual_cumulative</t>
  </si>
  <si>
    <t xml:space="preserve">committed_cost</t>
  </si>
  <si>
    <t xml:space="preserve">forecast_remaining</t>
  </si>
  <si>
    <t xml:space="preserve">forecast_at_completion</t>
  </si>
  <si>
    <t xml:space="preserve">Evm</t>
  </si>
  <si>
    <t xml:space="preserve">Not yet populated - built in Phase 4 (Earned Value Management), calculated as of the status date (Mar 31, 2026).</t>
  </si>
  <si>
    <t xml:space="preserve">pv</t>
  </si>
  <si>
    <t xml:space="preserve">ev</t>
  </si>
  <si>
    <t xml:space="preserve">ac</t>
  </si>
  <si>
    <t xml:space="preserve">cv</t>
  </si>
  <si>
    <t xml:space="preserve">sv</t>
  </si>
  <si>
    <t xml:space="preserve">cpi</t>
  </si>
  <si>
    <t xml:space="preserve">spi</t>
  </si>
  <si>
    <t xml:space="preserve">eac</t>
  </si>
  <si>
    <t xml:space="preserve">etc</t>
  </si>
  <si>
    <t xml:space="preserve">vac</t>
  </si>
  <si>
    <t xml:space="preserve">rag_status</t>
  </si>
  <si>
    <t xml:space="preserve">Risks</t>
  </si>
  <si>
    <t xml:space="preserve">Not yet populated - built in Phase 5 (Risk Register). 25-40 risks planned across the program.</t>
  </si>
  <si>
    <t xml:space="preserve">risk_id</t>
  </si>
  <si>
    <t xml:space="preserve">risk_category</t>
  </si>
  <si>
    <t xml:space="preserve">risk_statement</t>
  </si>
  <si>
    <t xml:space="preserve">probability_score</t>
  </si>
  <si>
    <t xml:space="preserve">impact_score</t>
  </si>
  <si>
    <t xml:space="preserve">inherent_score</t>
  </si>
  <si>
    <t xml:space="preserve">owner</t>
  </si>
  <si>
    <t xml:space="preserve">response_strategy</t>
  </si>
  <si>
    <t xml:space="preserve">mitigation</t>
  </si>
  <si>
    <t xml:space="preserve">residual_probability</t>
  </si>
  <si>
    <t xml:space="preserve">residual_impact</t>
  </si>
  <si>
    <t xml:space="preserve">residual_score</t>
  </si>
  <si>
    <t xml:space="preserve">status</t>
  </si>
  <si>
    <t xml:space="preserve">Changes</t>
  </si>
  <si>
    <t xml:space="preserve">Not yet populated - built in Phase 6 (Change Control), including the featured $600K / six-week contractor change scenario.</t>
  </si>
  <si>
    <t xml:space="preserve">change_id</t>
  </si>
  <si>
    <t xml:space="preserve">change_description</t>
  </si>
  <si>
    <t xml:space="preserve">cause</t>
  </si>
  <si>
    <t xml:space="preserve">requested_date</t>
  </si>
  <si>
    <t xml:space="preserve">approval_status</t>
  </si>
  <si>
    <t xml:space="preserve">cost_impact</t>
  </si>
  <si>
    <t xml:space="preserve">schedule_impact_days</t>
  </si>
  <si>
    <t xml:space="preserve">contingency_drawdown</t>
  </si>
  <si>
    <t xml:space="preserve">approved_by</t>
  </si>
  <si>
    <t xml:space="preserve">Resources</t>
  </si>
  <si>
    <t xml:space="preserve">Not yet populated - built in Phase 7 (Staffing / Resource Plan).</t>
  </si>
  <si>
    <t xml:space="preserve">role</t>
  </si>
  <si>
    <t xml:space="preserve">planned_fte</t>
  </si>
  <si>
    <t xml:space="preserve">notes</t>
  </si>
  <si>
    <t xml:space="preserve">Vendors</t>
  </si>
  <si>
    <t xml:space="preserve">Not yet populated - built in Phase 7 (Contractor / Vendor Tracker).</t>
  </si>
  <si>
    <t xml:space="preserve">vendor_id</t>
  </si>
  <si>
    <t xml:space="preserve">vendor_name</t>
  </si>
  <si>
    <t xml:space="preserve">contract_value</t>
  </si>
  <si>
    <t xml:space="preserve">performance_notes</t>
  </si>
  <si>
    <t xml:space="preserve">Milestones</t>
  </si>
  <si>
    <t xml:space="preserve">Not yet populated - built in Phase 8 (Milestone Tracker). 35-50 milestones planned across the program.</t>
  </si>
  <si>
    <t xml:space="preserve">milestone_id</t>
  </si>
  <si>
    <t xml:space="preserve">milestone_name</t>
  </si>
  <si>
    <t xml:space="preserve">baseline_date</t>
  </si>
  <si>
    <t xml:space="preserve">forecast_date</t>
  </si>
  <si>
    <t xml:space="preserve">actual_date</t>
  </si>
  <si>
    <t xml:space="preserve">variance_days</t>
  </si>
  <si>
    <t xml:space="preserve">Kpi Thresholds</t>
  </si>
  <si>
    <t xml:space="preserve">Not yet populated - built in Phase 4, alongside EVM. Defines RAG (Red/Amber/Green) status logic. These are project assumptions, not industry-mandated values.</t>
  </si>
  <si>
    <t xml:space="preserve">kpi</t>
  </si>
  <si>
    <t xml:space="preserve">green_threshold</t>
  </si>
  <si>
    <t xml:space="preserve">amber_threshold</t>
  </si>
  <si>
    <t xml:space="preserve">red_threshold</t>
  </si>
  <si>
    <t xml:space="preserve">Dashboard Data</t>
  </si>
  <si>
    <t xml:space="preserve">Not yet populated - built in Phase 9 (Power BI Prep). Flattened export tables consumed by the Power BI dashboard.</t>
  </si>
  <si>
    <t xml:space="preserve">table_name</t>
  </si>
  <si>
    <t xml:space="preserve">description</t>
  </si>
  <si>
    <t xml:space="preserve">refreshed_from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</si>
</sst>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mmm\-yyyy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17</v>
      </c>
      <c r="B2" s="5"/>
      <c r="C2" s="5"/>
      <c r="D2" s="5"/>
      <c r="E2" s="5"/>
      <c r="F2" s="5"/>
      <c r="G2" s="5"/>
      <c r="H2" s="5"/>
      <c r="I2" s="5"/>
      <c r="J2" s="5"/>
    </row>
    <row r="4" customFormat="false" ht="39.5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</row>
    <row r="5" customFormat="false" ht="15" hidden="false" customHeight="false" outlineLevel="0" collapsed="false">
      <c r="A5" s="7" t="s">
        <v>28</v>
      </c>
      <c r="B5" s="7" t="s">
        <v>29</v>
      </c>
      <c r="C5" s="7" t="s">
        <v>30</v>
      </c>
      <c r="D5" s="7" t="s">
        <v>31</v>
      </c>
      <c r="E5" s="8" t="n">
        <v>8000000</v>
      </c>
      <c r="F5" s="9" t="n">
        <f aca="false">E5/$E$17</f>
        <v>0.0833333333333333</v>
      </c>
      <c r="G5" s="10" t="n">
        <v>45658</v>
      </c>
      <c r="H5" s="10" t="n">
        <v>46054</v>
      </c>
      <c r="I5" s="11" t="n">
        <f aca="false">DATEDIF(G5,H5,"m")</f>
        <v>13</v>
      </c>
      <c r="J5" s="7" t="s">
        <v>32</v>
      </c>
    </row>
    <row r="6" customFormat="false" ht="15" hidden="false" customHeight="false" outlineLevel="0" collapsed="false">
      <c r="A6" s="7" t="s">
        <v>33</v>
      </c>
      <c r="B6" s="7" t="s">
        <v>34</v>
      </c>
      <c r="C6" s="7" t="s">
        <v>35</v>
      </c>
      <c r="D6" s="7" t="s">
        <v>36</v>
      </c>
      <c r="E6" s="8" t="n">
        <v>9500000</v>
      </c>
      <c r="F6" s="9" t="n">
        <f aca="false">E6/$E$17</f>
        <v>0.0989583333333333</v>
      </c>
      <c r="G6" s="10" t="n">
        <v>45689</v>
      </c>
      <c r="H6" s="10" t="n">
        <v>46266</v>
      </c>
      <c r="I6" s="11" t="n">
        <f aca="false">DATEDIF(G6,H6,"m")</f>
        <v>19</v>
      </c>
      <c r="J6" s="7" t="s">
        <v>37</v>
      </c>
    </row>
    <row r="7" customFormat="false" ht="15" hidden="false" customHeight="false" outlineLevel="0" collapsed="false">
      <c r="A7" s="7" t="s">
        <v>38</v>
      </c>
      <c r="B7" s="7" t="s">
        <v>39</v>
      </c>
      <c r="C7" s="7" t="s">
        <v>40</v>
      </c>
      <c r="D7" s="7" t="s">
        <v>41</v>
      </c>
      <c r="E7" s="8" t="n">
        <v>22000000</v>
      </c>
      <c r="F7" s="9" t="n">
        <f aca="false">E7/$E$17</f>
        <v>0.229166666666667</v>
      </c>
      <c r="G7" s="10" t="n">
        <v>45658</v>
      </c>
      <c r="H7" s="10" t="n">
        <v>46631</v>
      </c>
      <c r="I7" s="11" t="n">
        <f aca="false">DATEDIF(G7,H7,"m")</f>
        <v>32</v>
      </c>
      <c r="J7" s="7" t="s">
        <v>37</v>
      </c>
    </row>
    <row r="8" customFormat="false" ht="15" hidden="false" customHeight="false" outlineLevel="0" collapsed="false">
      <c r="A8" s="7" t="s">
        <v>42</v>
      </c>
      <c r="B8" s="7" t="s">
        <v>43</v>
      </c>
      <c r="C8" s="7" t="s">
        <v>44</v>
      </c>
      <c r="D8" s="7" t="s">
        <v>45</v>
      </c>
      <c r="E8" s="8" t="n">
        <v>6000000</v>
      </c>
      <c r="F8" s="9" t="n">
        <f aca="false">E8/$E$17</f>
        <v>0.0625</v>
      </c>
      <c r="G8" s="10" t="n">
        <v>45809</v>
      </c>
      <c r="H8" s="10" t="n">
        <v>46113</v>
      </c>
      <c r="I8" s="11" t="n">
        <f aca="false">DATEDIF(G8,H8,"m")</f>
        <v>10</v>
      </c>
      <c r="J8" s="7" t="s">
        <v>37</v>
      </c>
    </row>
    <row r="9" customFormat="false" ht="15" hidden="false" customHeight="false" outlineLevel="0" collapsed="false">
      <c r="A9" s="7" t="s">
        <v>46</v>
      </c>
      <c r="B9" s="7" t="s">
        <v>47</v>
      </c>
      <c r="C9" s="7" t="s">
        <v>48</v>
      </c>
      <c r="D9" s="7" t="s">
        <v>31</v>
      </c>
      <c r="E9" s="8" t="n">
        <v>12000000</v>
      </c>
      <c r="F9" s="9" t="n">
        <f aca="false">E9/$E$17</f>
        <v>0.125</v>
      </c>
      <c r="G9" s="10" t="n">
        <v>45717</v>
      </c>
      <c r="H9" s="10" t="n">
        <v>46357</v>
      </c>
      <c r="I9" s="11" t="n">
        <f aca="false">DATEDIF(G9,H9,"m")</f>
        <v>21</v>
      </c>
      <c r="J9" s="7" t="s">
        <v>37</v>
      </c>
    </row>
    <row r="10" customFormat="false" ht="15" hidden="false" customHeight="false" outlineLevel="0" collapsed="false">
      <c r="A10" s="7" t="s">
        <v>49</v>
      </c>
      <c r="B10" s="7" t="s">
        <v>50</v>
      </c>
      <c r="C10" s="7" t="s">
        <v>51</v>
      </c>
      <c r="D10" s="7" t="s">
        <v>52</v>
      </c>
      <c r="E10" s="8" t="n">
        <v>7500000</v>
      </c>
      <c r="F10" s="9" t="n">
        <f aca="false">E10/$E$17</f>
        <v>0.078125</v>
      </c>
      <c r="G10" s="10" t="n">
        <v>45870</v>
      </c>
      <c r="H10" s="10" t="n">
        <v>46296</v>
      </c>
      <c r="I10" s="11" t="n">
        <f aca="false">DATEDIF(G10,H10,"m")</f>
        <v>14</v>
      </c>
      <c r="J10" s="7" t="s">
        <v>37</v>
      </c>
    </row>
    <row r="11" customFormat="false" ht="15" hidden="false" customHeight="false" outlineLevel="0" collapsed="false">
      <c r="A11" s="7" t="s">
        <v>53</v>
      </c>
      <c r="B11" s="7" t="s">
        <v>54</v>
      </c>
      <c r="C11" s="7" t="s">
        <v>30</v>
      </c>
      <c r="D11" s="7" t="s">
        <v>55</v>
      </c>
      <c r="E11" s="8" t="n">
        <v>4500000</v>
      </c>
      <c r="F11" s="9" t="n">
        <f aca="false">E11/$E$17</f>
        <v>0.046875</v>
      </c>
      <c r="G11" s="10" t="n">
        <v>45931</v>
      </c>
      <c r="H11" s="10" t="n">
        <v>46174</v>
      </c>
      <c r="I11" s="11" t="n">
        <f aca="false">DATEDIF(G11,H11,"m")</f>
        <v>8</v>
      </c>
      <c r="J11" s="7" t="s">
        <v>37</v>
      </c>
    </row>
    <row r="12" customFormat="false" ht="15" hidden="false" customHeight="false" outlineLevel="0" collapsed="false">
      <c r="A12" s="7" t="s">
        <v>56</v>
      </c>
      <c r="B12" s="7" t="s">
        <v>57</v>
      </c>
      <c r="C12" s="7" t="s">
        <v>58</v>
      </c>
      <c r="D12" s="7" t="s">
        <v>55</v>
      </c>
      <c r="E12" s="8" t="n">
        <v>5000000</v>
      </c>
      <c r="F12" s="9" t="n">
        <f aca="false">E12/$E$17</f>
        <v>0.0520833333333333</v>
      </c>
      <c r="G12" s="10" t="n">
        <v>45992</v>
      </c>
      <c r="H12" s="10" t="n">
        <v>46419</v>
      </c>
      <c r="I12" s="11" t="n">
        <f aca="false">DATEDIF(G12,H12,"m")</f>
        <v>14</v>
      </c>
      <c r="J12" s="7" t="s">
        <v>59</v>
      </c>
    </row>
    <row r="13" customFormat="false" ht="15" hidden="false" customHeight="false" outlineLevel="0" collapsed="false">
      <c r="A13" s="7" t="s">
        <v>60</v>
      </c>
      <c r="B13" s="7" t="s">
        <v>61</v>
      </c>
      <c r="C13" s="7" t="s">
        <v>30</v>
      </c>
      <c r="D13" s="7" t="s">
        <v>36</v>
      </c>
      <c r="E13" s="8" t="n">
        <v>8500000</v>
      </c>
      <c r="F13" s="9" t="n">
        <f aca="false">E13/$E$17</f>
        <v>0.0885416666666667</v>
      </c>
      <c r="G13" s="10" t="n">
        <v>46054</v>
      </c>
      <c r="H13" s="10" t="n">
        <v>46478</v>
      </c>
      <c r="I13" s="11" t="n">
        <f aca="false">DATEDIF(G13,H13,"m")</f>
        <v>14</v>
      </c>
      <c r="J13" s="7" t="s">
        <v>62</v>
      </c>
    </row>
    <row r="14" customFormat="false" ht="15" hidden="false" customHeight="false" outlineLevel="0" collapsed="false">
      <c r="A14" s="7" t="s">
        <v>63</v>
      </c>
      <c r="B14" s="7" t="s">
        <v>64</v>
      </c>
      <c r="C14" s="7" t="s">
        <v>65</v>
      </c>
      <c r="D14" s="7" t="s">
        <v>52</v>
      </c>
      <c r="E14" s="8" t="n">
        <v>4000000</v>
      </c>
      <c r="F14" s="9" t="n">
        <f aca="false">E14/$E$17</f>
        <v>0.0416666666666667</v>
      </c>
      <c r="G14" s="10" t="n">
        <v>46113</v>
      </c>
      <c r="H14" s="10" t="n">
        <v>46447</v>
      </c>
      <c r="I14" s="11" t="n">
        <f aca="false">DATEDIF(G14,H14,"m")</f>
        <v>11</v>
      </c>
      <c r="J14" s="7" t="s">
        <v>66</v>
      </c>
    </row>
    <row r="15" customFormat="false" ht="15" hidden="false" customHeight="false" outlineLevel="0" collapsed="false">
      <c r="A15" s="7" t="s">
        <v>67</v>
      </c>
      <c r="B15" s="7" t="s">
        <v>68</v>
      </c>
      <c r="C15" s="7" t="s">
        <v>30</v>
      </c>
      <c r="D15" s="7" t="s">
        <v>45</v>
      </c>
      <c r="E15" s="8" t="n">
        <v>3500000</v>
      </c>
      <c r="F15" s="9" t="n">
        <f aca="false">E15/$E$17</f>
        <v>0.0364583333333333</v>
      </c>
      <c r="G15" s="10" t="n">
        <v>45748</v>
      </c>
      <c r="H15" s="10" t="n">
        <v>46235</v>
      </c>
      <c r="I15" s="11" t="n">
        <f aca="false">DATEDIF(G15,H15,"m")</f>
        <v>16</v>
      </c>
      <c r="J15" s="7" t="s">
        <v>37</v>
      </c>
    </row>
    <row r="16" customFormat="false" ht="15" hidden="false" customHeight="false" outlineLevel="0" collapsed="false">
      <c r="A16" s="7" t="s">
        <v>69</v>
      </c>
      <c r="B16" s="7" t="s">
        <v>70</v>
      </c>
      <c r="C16" s="7" t="s">
        <v>71</v>
      </c>
      <c r="D16" s="7" t="s">
        <v>72</v>
      </c>
      <c r="E16" s="8" t="n">
        <v>5500000</v>
      </c>
      <c r="F16" s="9" t="n">
        <f aca="false">E16/$E$17</f>
        <v>0.0572916666666667</v>
      </c>
      <c r="G16" s="10" t="n">
        <v>45658</v>
      </c>
      <c r="H16" s="10" t="n">
        <v>46722</v>
      </c>
      <c r="I16" s="11" t="n">
        <f aca="false">DATEDIF(G16,H16,"m")</f>
        <v>35</v>
      </c>
      <c r="J16" s="7" t="s">
        <v>73</v>
      </c>
    </row>
    <row r="17" customFormat="false" ht="15" hidden="false" customHeight="false" outlineLevel="0" collapsed="false">
      <c r="A17" s="11"/>
      <c r="B17" s="12" t="s">
        <v>74</v>
      </c>
      <c r="C17" s="11"/>
      <c r="D17" s="11"/>
      <c r="E17" s="13" t="n">
        <f aca="false">SUM(E5:E16)</f>
        <v>96000000</v>
      </c>
      <c r="F17" s="11"/>
      <c r="G17" s="11"/>
      <c r="H17" s="11"/>
      <c r="I17" s="11"/>
      <c r="J17" s="11"/>
    </row>
    <row r="19" customFormat="false" ht="15" hidden="false" customHeight="false" outlineLevel="0" collapsed="false">
      <c r="A19" s="14" t="s">
        <v>75</v>
      </c>
      <c r="B19" s="15" t="str">
        <f aca="false">IF(E17=96000000,"OK - Program BAC = $96.0M","ERROR - does not equal $96.0M")</f>
        <v>OK - Program BAC = $96.0M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7.35" hidden="false" customHeight="false" outlineLevel="0" collapsed="false">
      <c r="A1" s="4" t="s">
        <v>76</v>
      </c>
      <c r="B1" s="4"/>
      <c r="C1" s="4"/>
      <c r="D1" s="4"/>
      <c r="E1" s="4"/>
    </row>
    <row r="2" customFormat="false" ht="15" hidden="false" customHeight="false" outlineLevel="0" collapsed="false">
      <c r="A2" s="5" t="s">
        <v>77</v>
      </c>
      <c r="B2" s="5"/>
      <c r="C2" s="5"/>
      <c r="D2" s="5"/>
      <c r="E2" s="5"/>
    </row>
    <row r="4" customFormat="false" ht="15" hidden="false" customHeight="false" outlineLevel="0" collapsed="false">
      <c r="A4" s="6" t="s">
        <v>78</v>
      </c>
      <c r="B4" s="6" t="s">
        <v>79</v>
      </c>
      <c r="C4" s="6" t="s">
        <v>80</v>
      </c>
      <c r="D4" s="6" t="s">
        <v>81</v>
      </c>
      <c r="E4" s="6" t="s">
        <v>18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0"/>
  </cols>
  <sheetData>
    <row r="1" customFormat="false" ht="17.35" hidden="false" customHeight="false" outlineLevel="0" collapsed="false">
      <c r="A1" s="4" t="s">
        <v>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5" hidden="false" customHeight="false" outlineLevel="0" collapsed="false">
      <c r="A2" s="5" t="s">
        <v>83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customFormat="false" ht="15" hidden="false" customHeight="false" outlineLevel="0" collapsed="false">
      <c r="A4" s="6" t="s">
        <v>84</v>
      </c>
      <c r="B4" s="6" t="s">
        <v>18</v>
      </c>
      <c r="C4" s="6" t="s">
        <v>85</v>
      </c>
      <c r="D4" s="6" t="s">
        <v>78</v>
      </c>
      <c r="E4" s="6" t="s">
        <v>86</v>
      </c>
      <c r="F4" s="6" t="s">
        <v>87</v>
      </c>
      <c r="G4" s="6" t="s">
        <v>88</v>
      </c>
      <c r="H4" s="6" t="s">
        <v>89</v>
      </c>
      <c r="I4" s="6" t="s">
        <v>90</v>
      </c>
      <c r="J4" s="6" t="s">
        <v>91</v>
      </c>
      <c r="K4" s="6" t="s">
        <v>92</v>
      </c>
      <c r="L4" s="6" t="s">
        <v>93</v>
      </c>
      <c r="M4" s="6" t="s">
        <v>94</v>
      </c>
      <c r="N4" s="6" t="s">
        <v>95</v>
      </c>
      <c r="O4" s="6" t="s">
        <v>96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17.35" hidden="false" customHeight="false" outlineLevel="0" collapsed="false">
      <c r="A1" s="4" t="s">
        <v>97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98</v>
      </c>
      <c r="B2" s="5"/>
      <c r="C2" s="5"/>
      <c r="D2" s="5"/>
      <c r="E2" s="5"/>
      <c r="F2" s="5"/>
      <c r="G2" s="5"/>
      <c r="H2" s="5"/>
      <c r="I2" s="5"/>
    </row>
    <row r="4" customFormat="false" ht="26.85" hidden="false" customHeight="false" outlineLevel="0" collapsed="false">
      <c r="A4" s="6" t="s">
        <v>99</v>
      </c>
      <c r="B4" s="6" t="s">
        <v>18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6" t="s">
        <v>105</v>
      </c>
      <c r="I4" s="6" t="s">
        <v>106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0"/>
  </cols>
  <sheetData>
    <row r="1" customFormat="false" ht="17.35" hidden="false" customHeight="false" outlineLevel="0" collapsed="false">
      <c r="A1" s="4" t="s">
        <v>107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5" t="s">
        <v>108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customFormat="false" ht="15" hidden="false" customHeight="false" outlineLevel="0" collapsed="false">
      <c r="A4" s="6" t="s">
        <v>18</v>
      </c>
      <c r="B4" s="6" t="s">
        <v>22</v>
      </c>
      <c r="C4" s="6" t="s">
        <v>109</v>
      </c>
      <c r="D4" s="6" t="s">
        <v>110</v>
      </c>
      <c r="E4" s="6" t="s">
        <v>111</v>
      </c>
      <c r="F4" s="6" t="s">
        <v>112</v>
      </c>
      <c r="G4" s="6" t="s">
        <v>113</v>
      </c>
      <c r="H4" s="6" t="s">
        <v>114</v>
      </c>
      <c r="I4" s="6" t="s">
        <v>115</v>
      </c>
      <c r="J4" s="6" t="s">
        <v>116</v>
      </c>
      <c r="K4" s="6" t="s">
        <v>117</v>
      </c>
      <c r="L4" s="6" t="s">
        <v>118</v>
      </c>
      <c r="M4" s="6" t="s">
        <v>119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0"/>
  </cols>
  <sheetData>
    <row r="1" customFormat="false" ht="17.35" hidden="false" customHeight="false" outlineLevel="0" collapsed="false">
      <c r="A1" s="4" t="s">
        <v>120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5" t="s">
        <v>121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26.85" hidden="false" customHeight="false" outlineLevel="0" collapsed="false">
      <c r="A4" s="6" t="s">
        <v>122</v>
      </c>
      <c r="B4" s="6" t="s">
        <v>18</v>
      </c>
      <c r="C4" s="6" t="s">
        <v>123</v>
      </c>
      <c r="D4" s="6" t="s">
        <v>124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  <c r="J4" s="6" t="s">
        <v>130</v>
      </c>
      <c r="K4" s="6" t="s">
        <v>131</v>
      </c>
      <c r="L4" s="6" t="s">
        <v>132</v>
      </c>
      <c r="M4" s="6" t="s">
        <v>133</v>
      </c>
      <c r="N4" s="6" t="s">
        <v>134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7.35" hidden="false" customHeight="false" outlineLevel="0" collapsed="false">
      <c r="A1" s="4" t="s">
        <v>135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136</v>
      </c>
      <c r="B2" s="5"/>
      <c r="C2" s="5"/>
      <c r="D2" s="5"/>
      <c r="E2" s="5"/>
      <c r="F2" s="5"/>
      <c r="G2" s="5"/>
      <c r="H2" s="5"/>
      <c r="I2" s="5"/>
      <c r="J2" s="5"/>
    </row>
    <row r="4" customFormat="false" ht="26.85" hidden="false" customHeight="false" outlineLevel="0" collapsed="false">
      <c r="A4" s="6" t="s">
        <v>137</v>
      </c>
      <c r="B4" s="6" t="s">
        <v>18</v>
      </c>
      <c r="C4" s="6" t="s">
        <v>138</v>
      </c>
      <c r="D4" s="6" t="s">
        <v>139</v>
      </c>
      <c r="E4" s="6" t="s">
        <v>140</v>
      </c>
      <c r="F4" s="6" t="s">
        <v>141</v>
      </c>
      <c r="G4" s="6" t="s">
        <v>142</v>
      </c>
      <c r="H4" s="6" t="s">
        <v>143</v>
      </c>
      <c r="I4" s="6" t="s">
        <v>144</v>
      </c>
      <c r="J4" s="6" t="s">
        <v>145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7.35" hidden="false" customHeight="false" outlineLevel="0" collapsed="false">
      <c r="A1" s="4" t="s">
        <v>146</v>
      </c>
      <c r="B1" s="4"/>
      <c r="C1" s="4"/>
      <c r="D1" s="4"/>
      <c r="E1" s="4"/>
    </row>
    <row r="2" customFormat="false" ht="15" hidden="false" customHeight="false" outlineLevel="0" collapsed="false">
      <c r="A2" s="5" t="s">
        <v>147</v>
      </c>
      <c r="B2" s="5"/>
      <c r="C2" s="5"/>
      <c r="D2" s="5"/>
      <c r="E2" s="5"/>
    </row>
    <row r="4" customFormat="false" ht="15" hidden="false" customHeight="false" outlineLevel="0" collapsed="false">
      <c r="A4" s="6" t="s">
        <v>99</v>
      </c>
      <c r="B4" s="6" t="s">
        <v>18</v>
      </c>
      <c r="C4" s="6" t="s">
        <v>148</v>
      </c>
      <c r="D4" s="6" t="s">
        <v>149</v>
      </c>
      <c r="E4" s="6" t="s">
        <v>150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7.35" hidden="false" customHeight="false" outlineLevel="0" collapsed="false">
      <c r="A1" s="4" t="s">
        <v>151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152</v>
      </c>
      <c r="B2" s="5"/>
      <c r="C2" s="5"/>
      <c r="D2" s="5"/>
      <c r="E2" s="5"/>
      <c r="F2" s="5"/>
      <c r="G2" s="5"/>
    </row>
    <row r="4" customFormat="false" ht="15" hidden="false" customHeight="false" outlineLevel="0" collapsed="false">
      <c r="A4" s="6" t="s">
        <v>153</v>
      </c>
      <c r="B4" s="6" t="s">
        <v>154</v>
      </c>
      <c r="C4" s="6" t="s">
        <v>148</v>
      </c>
      <c r="D4" s="6" t="s">
        <v>18</v>
      </c>
      <c r="E4" s="6" t="s">
        <v>155</v>
      </c>
      <c r="F4" s="6" t="s">
        <v>134</v>
      </c>
      <c r="G4" s="6" t="s">
        <v>156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7.35" hidden="false" customHeight="false" outlineLevel="0" collapsed="false">
      <c r="A1" s="4" t="s">
        <v>157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5" t="s">
        <v>158</v>
      </c>
      <c r="B2" s="5"/>
      <c r="C2" s="5"/>
      <c r="D2" s="5"/>
      <c r="E2" s="5"/>
      <c r="F2" s="5"/>
      <c r="G2" s="5"/>
      <c r="H2" s="5"/>
    </row>
    <row r="4" customFormat="false" ht="15" hidden="false" customHeight="false" outlineLevel="0" collapsed="false">
      <c r="A4" s="6" t="s">
        <v>159</v>
      </c>
      <c r="B4" s="6" t="s">
        <v>18</v>
      </c>
      <c r="C4" s="6" t="s">
        <v>160</v>
      </c>
      <c r="D4" s="6" t="s">
        <v>161</v>
      </c>
      <c r="E4" s="6" t="s">
        <v>162</v>
      </c>
      <c r="F4" s="6" t="s">
        <v>163</v>
      </c>
      <c r="G4" s="6" t="s">
        <v>164</v>
      </c>
      <c r="H4" s="6" t="s">
        <v>134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7.35" hidden="false" customHeight="false" outlineLevel="0" collapsed="false">
      <c r="A1" s="4" t="s">
        <v>165</v>
      </c>
      <c r="B1" s="4"/>
      <c r="C1" s="4"/>
      <c r="D1" s="4"/>
    </row>
    <row r="2" customFormat="false" ht="15" hidden="false" customHeight="false" outlineLevel="0" collapsed="false">
      <c r="A2" s="5" t="s">
        <v>166</v>
      </c>
      <c r="B2" s="5"/>
      <c r="C2" s="5"/>
      <c r="D2" s="5"/>
    </row>
    <row r="4" customFormat="false" ht="15" hidden="false" customHeight="false" outlineLevel="0" collapsed="false">
      <c r="A4" s="6" t="s">
        <v>167</v>
      </c>
      <c r="B4" s="6" t="s">
        <v>168</v>
      </c>
      <c r="C4" s="6" t="s">
        <v>169</v>
      </c>
      <c r="D4" s="6" t="s">
        <v>170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7.35" hidden="false" customHeight="false" outlineLevel="0" collapsed="false">
      <c r="A1" s="4" t="s">
        <v>171</v>
      </c>
      <c r="B1" s="4"/>
      <c r="C1" s="4"/>
      <c r="D1" s="4"/>
    </row>
    <row r="2" customFormat="false" ht="15" hidden="false" customHeight="false" outlineLevel="0" collapsed="false">
      <c r="A2" s="5" t="s">
        <v>172</v>
      </c>
      <c r="B2" s="5"/>
      <c r="C2" s="5"/>
      <c r="D2" s="5"/>
    </row>
    <row r="4" customFormat="false" ht="15" hidden="false" customHeight="false" outlineLevel="0" collapsed="false">
      <c r="A4" s="6" t="s">
        <v>173</v>
      </c>
      <c r="B4" s="6" t="s">
        <v>174</v>
      </c>
      <c r="C4" s="6" t="s">
        <v>175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2026-09-15T16:15:38Z</dcterms:created>
  <dc:creator>openpyxl</dc:creator>
  <dc:description/>
  <dc:language>en-US</dc:language>
  <cp:lastModifiedBy/>
  <dcterms:modified xsi:type="dcterms:W3CDTF">2026-09-15T16:15:38Z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