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PROJECTS" sheetId="2" state="visible" r:id="rId4"/>
    <sheet name="02_WBS" sheetId="3" state="visible" r:id="rId5"/>
    <sheet name="03_SCHEDULE" sheetId="4" state="visible" r:id="rId6"/>
    <sheet name="04_MONTHLY_COSTS" sheetId="5" state="visible" r:id="rId7"/>
    <sheet name="05_EVM" sheetId="6" state="visible" r:id="rId8"/>
    <sheet name="06_RISKS" sheetId="7" state="visible" r:id="rId9"/>
    <sheet name="07_CHANGES" sheetId="8" state="visible" r:id="rId10"/>
    <sheet name="08_RESOURCES" sheetId="9" state="visible" r:id="rId11"/>
    <sheet name="09_VENDORS" sheetId="10" state="visible" r:id="rId12"/>
    <sheet name="10_MILESTONES" sheetId="11" state="visible" r:id="rId13"/>
    <sheet name="11_KPI_THRESHOLDS" sheetId="12" state="visible" r:id="rId14"/>
    <sheet name="12_DASHBOARD_DATA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<sst xmlns="http://schemas.openxmlformats.org/spreadsheetml/2006/main" count="2206" uniqueCount="901">
  <si>
    <t xml:space="preserve">HWSD_Project_Controls_Model.xlsx</t>
  </si>
  <si>
    <t xml:space="preserve">Source-of-truth project-controls workbook for the HWSD Municipal Water Capital Improvement Program (simulated).</t>
  </si>
  <si>
    <t xml:space="preserve">Project BAC total (P01-P12): $88,500,000  |  Program contingency reserve: $7,500,000</t>
  </si>
  <si>
    <t xml:space="preserve">Total program authorization: $96,000,000  |  12 projects  |  36-month program (Jan 2025 - Dec 2027)</t>
  </si>
  <si>
    <t xml:space="preserve">Status date (all PV/EV/AC/schedule status is measured as of this date): March 31, 2026 (Month 15 of 36)</t>
  </si>
  <si>
    <t xml:space="preserve">IMPORTANT: For all Earned Value Management calculations (Phase 4), 'program BAC' means the</t>
  </si>
  <si>
    <t xml:space="preserve">$88,500,000 project BAC total, NOT the $96,000,000 total authorization. The $7,500,000</t>
  </si>
  <si>
    <t xml:space="preserve">contingency reserve is unallocated and only enters the model through an approved change</t>
  </si>
  <si>
    <t xml:space="preserve">(07_CHANGES tab), at which point it is drawn down and the receiving project's BAC increases.</t>
  </si>
  <si>
    <t xml:space="preserve">Build status: Phase 1 complete (01_PROJECTS). All other tabs are structural shells only —</t>
  </si>
  <si>
    <t xml:space="preserve">column headers are final, but data has not yet been entered. Each phase of the build populates</t>
  </si>
  <si>
    <t xml:space="preserve">the next tab(s). See the repository README for the full phase sequence.</t>
  </si>
  <si>
    <t xml:space="preserve">Conventions used throughout this workbook:</t>
  </si>
  <si>
    <t xml:space="preserve">  - Blue font = hardcoded input. Black font = formula. Do not hand-edit formula cells.</t>
  </si>
  <si>
    <t xml:space="preserve">  - All dollar figures are in whole USD.</t>
  </si>
  <si>
    <t xml:space="preserve">  - project_id is the join key across every sheet in this workbook and every CSV in /02_data.</t>
  </si>
  <si>
    <t xml:space="preserve">  - This workbook is the controlled source of truth. Power BI and Python read from exports</t>
  </si>
  <si>
    <t xml:space="preserve">    of this workbook or from /02_data/processed — they do not maintain independent copies of</t>
  </si>
  <si>
    <t xml:space="preserve">    baseline data.</t>
  </si>
  <si>
    <t xml:space="preserve">All program, project, cost, schedule, risk, and vendor data in this workbook is synthetic</t>
  </si>
  <si>
    <t xml:space="preserve">and created for portfolio demonstration purposes only.</t>
  </si>
  <si>
    <t xml:space="preserve">Project Master List</t>
  </si>
  <si>
    <t xml:space="preserve">One row per project. project_id is the join key used across every other sheet and CSV in this repository.</t>
  </si>
  <si>
    <t xml:space="preserve">project_id</t>
  </si>
  <si>
    <t xml:space="preserve">project_name</t>
  </si>
  <si>
    <t xml:space="preserve">category</t>
  </si>
  <si>
    <t xml:space="preserve">project_manager</t>
  </si>
  <si>
    <t xml:space="preserve">bac</t>
  </si>
  <si>
    <t xml:space="preserve">pct_of_project_bac_total</t>
  </si>
  <si>
    <t xml:space="preserve">planned_start</t>
  </si>
  <si>
    <t xml:space="preserve">planned_finish</t>
  </si>
  <si>
    <t xml:space="preserve">planned_duration_months</t>
  </si>
  <si>
    <t xml:space="preserve">status_as_of_status_date</t>
  </si>
  <si>
    <t xml:space="preserve">P01</t>
  </si>
  <si>
    <t xml:space="preserve">Downtown 12-inch Water Main Replacement</t>
  </si>
  <si>
    <t xml:space="preserve">Distribution</t>
  </si>
  <si>
    <t xml:space="preserve">Maria Chen</t>
  </si>
  <si>
    <t xml:space="preserve">Substantially Complete</t>
  </si>
  <si>
    <t xml:space="preserve">P02</t>
  </si>
  <si>
    <t xml:space="preserve">Northside Pump Station Rehabilitation</t>
  </si>
  <si>
    <t xml:space="preserve">Pumping</t>
  </si>
  <si>
    <t xml:space="preserve">David Okafor</t>
  </si>
  <si>
    <t xml:space="preserve">In Construction</t>
  </si>
  <si>
    <t xml:space="preserve">P03</t>
  </si>
  <si>
    <t xml:space="preserve">Central Water Treatment Plant Process Upgrade</t>
  </si>
  <si>
    <t xml:space="preserve">Treatment</t>
  </si>
  <si>
    <t xml:space="preserve">Sarah Whitfield</t>
  </si>
  <si>
    <t xml:space="preserve">P04</t>
  </si>
  <si>
    <t xml:space="preserve">Hilltop Storage Tank Rehabilitation</t>
  </si>
  <si>
    <t xml:space="preserve">Storage</t>
  </si>
  <si>
    <t xml:space="preserve">James Patel</t>
  </si>
  <si>
    <t xml:space="preserve">P05</t>
  </si>
  <si>
    <t xml:space="preserve">Lead Service Line Replacement - Phase 1</t>
  </si>
  <si>
    <t xml:space="preserve">Distribution / Public Health</t>
  </si>
  <si>
    <t xml:space="preserve">P06</t>
  </si>
  <si>
    <t xml:space="preserve">AMI / Smart Meter Modernization</t>
  </si>
  <si>
    <t xml:space="preserve">Metering / Digital</t>
  </si>
  <si>
    <t xml:space="preserve">Angela Torres</t>
  </si>
  <si>
    <t xml:space="preserve">P07</t>
  </si>
  <si>
    <t xml:space="preserve">East Zone Pressure Management Improvements</t>
  </si>
  <si>
    <t xml:space="preserve">Robert Kim</t>
  </si>
  <si>
    <t xml:space="preserve">P08</t>
  </si>
  <si>
    <t xml:space="preserve">Emergency Generator &amp; Electrical Resiliency</t>
  </si>
  <si>
    <t xml:space="preserve">Resiliency</t>
  </si>
  <si>
    <t xml:space="preserve">Design / Early Construction</t>
  </si>
  <si>
    <t xml:space="preserve">P09</t>
  </si>
  <si>
    <t xml:space="preserve">River Crossing Main Rehabilitation</t>
  </si>
  <si>
    <t xml:space="preserve">Mobilization / Early Construction</t>
  </si>
  <si>
    <t xml:space="preserve">P10</t>
  </si>
  <si>
    <t xml:space="preserve">SCADA Controls Modernization</t>
  </si>
  <si>
    <t xml:space="preserve">Digital / Controls</t>
  </si>
  <si>
    <t xml:space="preserve">Planning / Not Started</t>
  </si>
  <si>
    <t xml:space="preserve">P11</t>
  </si>
  <si>
    <t xml:space="preserve">Valve Replacement &amp; Isolation Program</t>
  </si>
  <si>
    <t xml:space="preserve">P12</t>
  </si>
  <si>
    <t xml:space="preserve">Programwide Small Capital &amp; Emergency Response Improvements</t>
  </si>
  <si>
    <t xml:space="preserve">Small Capital &amp; Emergency Response</t>
  </si>
  <si>
    <t xml:space="preserve">Program Controls Office</t>
  </si>
  <si>
    <t xml:space="preserve">Ongoing / As-Needed</t>
  </si>
  <si>
    <t xml:space="preserve">PROJECT BAC TOTAL (P01-P12)</t>
  </si>
  <si>
    <t xml:space="preserve">Program Contingency Reserve (not a project; held at program level)</t>
  </si>
  <si>
    <t xml:space="preserve">TOTAL PROGRAM AUTHORIZATION</t>
  </si>
  <si>
    <t xml:space="preserve">QA checks:</t>
  </si>
  <si>
    <t xml:space="preserve">Note:</t>
  </si>
  <si>
    <t xml:space="preserve">P12 (Programwide Small Capital &amp; Emergency Response Improvements) is real, planned, scoped standing capital work with its own BAC, included in the $88.5M project total above. It is NOT the program contingency reserve. Truly unplanned/unscoped changes draw from the $7.5M program contingency reserve via an approved change request (07_CHANGES), not from P12.</t>
  </si>
  <si>
    <t xml:space="preserve">Work Breakdown Structure</t>
  </si>
  <si>
    <t xml:space="preserve">Level 3 = Control Account (receives its own allocated BAC/PV/EV/AC in Phase 4; project BAC rolls up from its control accounts). Level 4 = Work Package (schedule activities in Phase 2 will attach here). Standard_Lifecycle_Phase maps every control account - including P12's differently-worded phases - back to one of six portfolio-wide categories for Power BI rollups.</t>
  </si>
  <si>
    <t xml:space="preserve">WBS_Code</t>
  </si>
  <si>
    <t xml:space="preserve">WBS_Level</t>
  </si>
  <si>
    <t xml:space="preserve">Project_ID</t>
  </si>
  <si>
    <t xml:space="preserve">Project_Name</t>
  </si>
  <si>
    <t xml:space="preserve">Control_Account_ID</t>
  </si>
  <si>
    <t xml:space="preserve">Control_Account_Name</t>
  </si>
  <si>
    <t xml:space="preserve">Work_Package_ID</t>
  </si>
  <si>
    <t xml:space="preserve">Work_Package_Name</t>
  </si>
  <si>
    <t xml:space="preserve">Standard_Lifecycle_Phase</t>
  </si>
  <si>
    <t xml:space="preserve">Responsible_Role</t>
  </si>
  <si>
    <t xml:space="preserve">Description</t>
  </si>
  <si>
    <t xml:space="preserve">1.01.1</t>
  </si>
  <si>
    <t xml:space="preserve">P01-CA01</t>
  </si>
  <si>
    <t xml:space="preserve">Planning</t>
  </si>
  <si>
    <t xml:space="preserve">Program Controls / Planning Lead</t>
  </si>
  <si>
    <t xml:space="preserve">Planning phase for Downtown 12-inch Water Main Replacement: confirm scope, budget, and regulatory requirements, and align with the overall program schedule.</t>
  </si>
  <si>
    <t xml:space="preserve">1.01.1.1</t>
  </si>
  <si>
    <t xml:space="preserve">P01-WP011</t>
  </si>
  <si>
    <t xml:space="preserve">Needs Assessment</t>
  </si>
  <si>
    <t xml:space="preserve">Confirm the justification, condition assessment, and need for Downtown 12-inch Water Main Replacement.</t>
  </si>
  <si>
    <t xml:space="preserve">1.01.1.2</t>
  </si>
  <si>
    <t xml:space="preserve">P01-WP012</t>
  </si>
  <si>
    <t xml:space="preserve">Project Definition</t>
  </si>
  <si>
    <t xml:space="preserve">Finalize scope boundaries, success criteria, and program alignment for Downtown 12-inch Water Main Replacement.</t>
  </si>
  <si>
    <t xml:space="preserve">1.01.2</t>
  </si>
  <si>
    <t xml:space="preserve">P01-CA02</t>
  </si>
  <si>
    <t xml:space="preserve">Design</t>
  </si>
  <si>
    <t xml:space="preserve">Design Engineer (Consultant)</t>
  </si>
  <si>
    <t xml:space="preserve">Design phase for Downtown 12-inch Water Main Replacement: develop and finalize engineering design to support procurement and construction.</t>
  </si>
  <si>
    <t xml:space="preserve">1.01.2.1</t>
  </si>
  <si>
    <t xml:space="preserve">P01-WP021</t>
  </si>
  <si>
    <t xml:space="preserve">Preliminary Design (30%)</t>
  </si>
  <si>
    <t xml:space="preserve">Develop preliminary (~30%) design concepts and basis of design for Downtown 12-inch Water Main Replacement.</t>
  </si>
  <si>
    <t xml:space="preserve">1.01.2.2</t>
  </si>
  <si>
    <t xml:space="preserve">P01-WP022</t>
  </si>
  <si>
    <t xml:space="preserve">Final Design (100%)</t>
  </si>
  <si>
    <t xml:space="preserve">Complete final (100%) design documents and specifications for Downtown 12-inch Water Main Replacement.</t>
  </si>
  <si>
    <t xml:space="preserve">1.01.3</t>
  </si>
  <si>
    <t xml:space="preserve">P01-CA03</t>
  </si>
  <si>
    <t xml:space="preserve">Procurement</t>
  </si>
  <si>
    <t xml:space="preserve">Procurement &amp; Contracts Lead</t>
  </si>
  <si>
    <t xml:space="preserve">Procurement phase for Downtown 12-inch Water Main Replacement: solicit, award, and execute construction and/or equipment contracts.</t>
  </si>
  <si>
    <t xml:space="preserve">1.01.3.1</t>
  </si>
  <si>
    <t xml:space="preserve">P01-WP031</t>
  </si>
  <si>
    <t xml:space="preserve">Bid Package &amp; Solicitation</t>
  </si>
  <si>
    <t xml:space="preserve">Prepare bid documents and solicit contractor/vendor proposals for Downtown 12-inch Water Main Replacement.</t>
  </si>
  <si>
    <t xml:space="preserve">1.01.3.2</t>
  </si>
  <si>
    <t xml:space="preserve">P01-WP032</t>
  </si>
  <si>
    <t xml:space="preserve">Award &amp; Mobilization</t>
  </si>
  <si>
    <t xml:space="preserve">Award the contract and mobilize the contractor/vendor for Downtown 12-inch Water Main Replacement.</t>
  </si>
  <si>
    <t xml:space="preserve">1.01.4</t>
  </si>
  <si>
    <t xml:space="preserve">P01-CA04</t>
  </si>
  <si>
    <t xml:space="preserve">Construction</t>
  </si>
  <si>
    <t xml:space="preserve">Construction Manager / Contractor</t>
  </si>
  <si>
    <t xml:space="preserve">Construction phase for Downtown 12-inch Water Main Replacement: execute physical construction, installation, or implementation work.</t>
  </si>
  <si>
    <t xml:space="preserve">1.01.4.1</t>
  </si>
  <si>
    <t xml:space="preserve">P01-WP041</t>
  </si>
  <si>
    <t xml:space="preserve">Pipe Installation &amp; Jointing</t>
  </si>
  <si>
    <t xml:space="preserve">Excavate, lay, and joint new 12-inch ductile iron water main along the downtown corridor route.</t>
  </si>
  <si>
    <t xml:space="preserve">1.01.4.2</t>
  </si>
  <si>
    <t xml:space="preserve">P01-WP042</t>
  </si>
  <si>
    <t xml:space="preserve">Valve &amp; Hydrant Tie-Ins</t>
  </si>
  <si>
    <t xml:space="preserve">Install new isolation valves and fire hydrant connections and tie into the existing distribution system.</t>
  </si>
  <si>
    <t xml:space="preserve">1.01.4.3</t>
  </si>
  <si>
    <t xml:space="preserve">P01-WP043</t>
  </si>
  <si>
    <t xml:space="preserve">Pavement &amp; Surface Restoration</t>
  </si>
  <si>
    <t xml:space="preserve">Backfill, compact, and restore pavement, sidewalks, and surface features disturbed by construction.</t>
  </si>
  <si>
    <t xml:space="preserve">1.01.5</t>
  </si>
  <si>
    <t xml:space="preserve">P01-CA05</t>
  </si>
  <si>
    <t xml:space="preserve">Testing &amp; Commissioning</t>
  </si>
  <si>
    <t xml:space="preserve">Commissioning Lead</t>
  </si>
  <si>
    <t xml:space="preserve">Testing &amp; Commissioning phase for Downtown 12-inch Water Main Replacement: test, start up, and verify system performance prior to acceptance.</t>
  </si>
  <si>
    <t xml:space="preserve">1.01.5.1</t>
  </si>
  <si>
    <t xml:space="preserve">P01-WP051</t>
  </si>
  <si>
    <t xml:space="preserve">Startup &amp; Functional Testing</t>
  </si>
  <si>
    <t xml:space="preserve">Perform startup and functional testing of completed work for Downtown 12-inch Water Main Replacement.</t>
  </si>
  <si>
    <t xml:space="preserve">1.01.6</t>
  </si>
  <si>
    <t xml:space="preserve">P01-CA06</t>
  </si>
  <si>
    <t xml:space="preserve">Closeout</t>
  </si>
  <si>
    <t xml:space="preserve">Project Manager</t>
  </si>
  <si>
    <t xml:space="preserve">Closeout phase for Downtown 12-inch Water Main Replacement: complete punch-list items, finalize documentation, and transfer the asset to operations.</t>
  </si>
  <si>
    <t xml:space="preserve">1.01.6.1</t>
  </si>
  <si>
    <t xml:space="preserve">P01-WP061</t>
  </si>
  <si>
    <t xml:space="preserve">Documentation &amp; Turnover</t>
  </si>
  <si>
    <t xml:space="preserve">Compile as-built documentation and turn over the completed asset to operations for Downtown 12-inch Water Main Replacement.</t>
  </si>
  <si>
    <t xml:space="preserve">1.01.6.2</t>
  </si>
  <si>
    <t xml:space="preserve">P01-WP062</t>
  </si>
  <si>
    <t xml:space="preserve">Financial Closeout</t>
  </si>
  <si>
    <t xml:space="preserve">Reconcile final costs, close out contracts, and complete financial closeout for Downtown 12-inch Water Main Replacement.</t>
  </si>
  <si>
    <t xml:space="preserve">1.02.1</t>
  </si>
  <si>
    <t xml:space="preserve">P02-CA01</t>
  </si>
  <si>
    <t xml:space="preserve">Planning phase for Northside Pump Station Rehabilitation: confirm scope, budget, and regulatory requirements, and align with the overall program schedule.</t>
  </si>
  <si>
    <t xml:space="preserve">1.02.1.1</t>
  </si>
  <si>
    <t xml:space="preserve">P02-WP011</t>
  </si>
  <si>
    <t xml:space="preserve">Confirm the justification, condition assessment, and need for Northside Pump Station Rehabilitation.</t>
  </si>
  <si>
    <t xml:space="preserve">1.02.1.2</t>
  </si>
  <si>
    <t xml:space="preserve">P02-WP012</t>
  </si>
  <si>
    <t xml:space="preserve">Finalize scope boundaries, success criteria, and program alignment for Northside Pump Station Rehabilitation.</t>
  </si>
  <si>
    <t xml:space="preserve">1.02.2</t>
  </si>
  <si>
    <t xml:space="preserve">P02-CA02</t>
  </si>
  <si>
    <t xml:space="preserve">Design phase for Northside Pump Station Rehabilitation: develop and finalize engineering design to support procurement and construction.</t>
  </si>
  <si>
    <t xml:space="preserve">1.02.2.1</t>
  </si>
  <si>
    <t xml:space="preserve">P02-WP021</t>
  </si>
  <si>
    <t xml:space="preserve">Develop preliminary (~30%) design concepts and basis of design for Northside Pump Station Rehabilitation.</t>
  </si>
  <si>
    <t xml:space="preserve">1.02.2.2</t>
  </si>
  <si>
    <t xml:space="preserve">P02-WP022</t>
  </si>
  <si>
    <t xml:space="preserve">Complete final (100%) design documents and specifications for Northside Pump Station Rehabilitation.</t>
  </si>
  <si>
    <t xml:space="preserve">1.02.3</t>
  </si>
  <si>
    <t xml:space="preserve">P02-CA03</t>
  </si>
  <si>
    <t xml:space="preserve">Procurement phase for Northside Pump Station Rehabilitation: solicit, award, and execute construction and/or equipment contracts.</t>
  </si>
  <si>
    <t xml:space="preserve">1.02.3.1</t>
  </si>
  <si>
    <t xml:space="preserve">P02-WP031</t>
  </si>
  <si>
    <t xml:space="preserve">Prepare bid documents and solicit contractor/vendor proposals for Northside Pump Station Rehabilitation.</t>
  </si>
  <si>
    <t xml:space="preserve">1.02.3.2</t>
  </si>
  <si>
    <t xml:space="preserve">P02-WP032</t>
  </si>
  <si>
    <t xml:space="preserve">Award the contract and mobilize the contractor/vendor for Northside Pump Station Rehabilitation.</t>
  </si>
  <si>
    <t xml:space="preserve">1.02.4</t>
  </si>
  <si>
    <t xml:space="preserve">P02-CA04</t>
  </si>
  <si>
    <t xml:space="preserve">Construction phase for Northside Pump Station Rehabilitation: execute physical construction, installation, or implementation work.</t>
  </si>
  <si>
    <t xml:space="preserve">1.02.4.1</t>
  </si>
  <si>
    <t xml:space="preserve">P02-WP041</t>
  </si>
  <si>
    <t xml:space="preserve">Pump &amp; Motor Replacement</t>
  </si>
  <si>
    <t xml:space="preserve">Remove existing pumps and motors and install new high-efficiency units per design.</t>
  </si>
  <si>
    <t xml:space="preserve">1.02.4.2</t>
  </si>
  <si>
    <t xml:space="preserve">P02-WP042</t>
  </si>
  <si>
    <t xml:space="preserve">Electrical Switchgear Upgrade</t>
  </si>
  <si>
    <t xml:space="preserve">Replace station switchgear, VFDs, and associated electrical distribution equipment.</t>
  </si>
  <si>
    <t xml:space="preserve">1.02.4.3</t>
  </si>
  <si>
    <t xml:space="preserve">P02-WP043</t>
  </si>
  <si>
    <t xml:space="preserve">Wetwell Structural Rehabilitation</t>
  </si>
  <si>
    <t xml:space="preserve">Repair and recoat wetwell concrete structure and associated access hardware.</t>
  </si>
  <si>
    <t xml:space="preserve">1.02.5</t>
  </si>
  <si>
    <t xml:space="preserve">P02-CA05</t>
  </si>
  <si>
    <t xml:space="preserve">Testing &amp; Commissioning phase for Northside Pump Station Rehabilitation: test, start up, and verify system performance prior to acceptance.</t>
  </si>
  <si>
    <t xml:space="preserve">1.02.5.1</t>
  </si>
  <si>
    <t xml:space="preserve">P02-WP051</t>
  </si>
  <si>
    <t xml:space="preserve">Perform startup and functional testing of completed work for Northside Pump Station Rehabilitation.</t>
  </si>
  <si>
    <t xml:space="preserve">1.02.6</t>
  </si>
  <si>
    <t xml:space="preserve">P02-CA06</t>
  </si>
  <si>
    <t xml:space="preserve">Closeout phase for Northside Pump Station Rehabilitation: complete punch-list items, finalize documentation, and transfer the asset to operations.</t>
  </si>
  <si>
    <t xml:space="preserve">1.02.6.1</t>
  </si>
  <si>
    <t xml:space="preserve">P02-WP061</t>
  </si>
  <si>
    <t xml:space="preserve">Compile as-built documentation and turn over the completed asset to operations for Northside Pump Station Rehabilitation.</t>
  </si>
  <si>
    <t xml:space="preserve">1.02.6.2</t>
  </si>
  <si>
    <t xml:space="preserve">P02-WP062</t>
  </si>
  <si>
    <t xml:space="preserve">Reconcile final costs, close out contracts, and complete financial closeout for Northside Pump Station Rehabilitation.</t>
  </si>
  <si>
    <t xml:space="preserve">1.03.1</t>
  </si>
  <si>
    <t xml:space="preserve">P03-CA01</t>
  </si>
  <si>
    <t xml:space="preserve">Planning phase for Central Water Treatment Plant Process Upgrade: confirm scope, budget, and regulatory requirements, and align with the overall program schedule.</t>
  </si>
  <si>
    <t xml:space="preserve">1.03.1.1</t>
  </si>
  <si>
    <t xml:space="preserve">P03-WP011</t>
  </si>
  <si>
    <t xml:space="preserve">Confirm the justification, condition assessment, and need for Central Water Treatment Plant Process Upgrade.</t>
  </si>
  <si>
    <t xml:space="preserve">1.03.1.2</t>
  </si>
  <si>
    <t xml:space="preserve">P03-WP012</t>
  </si>
  <si>
    <t xml:space="preserve">Finalize scope boundaries, success criteria, and program alignment for Central Water Treatment Plant Process Upgrade.</t>
  </si>
  <si>
    <t xml:space="preserve">1.03.2</t>
  </si>
  <si>
    <t xml:space="preserve">P03-CA02</t>
  </si>
  <si>
    <t xml:space="preserve">Design phase for Central Water Treatment Plant Process Upgrade: develop and finalize engineering design to support procurement and construction.</t>
  </si>
  <si>
    <t xml:space="preserve">1.03.2.1</t>
  </si>
  <si>
    <t xml:space="preserve">P03-WP021</t>
  </si>
  <si>
    <t xml:space="preserve">Develop preliminary (~30%) design concepts and basis of design for Central Water Treatment Plant Process Upgrade.</t>
  </si>
  <si>
    <t xml:space="preserve">1.03.2.2</t>
  </si>
  <si>
    <t xml:space="preserve">P03-WP022</t>
  </si>
  <si>
    <t xml:space="preserve">Complete final (100%) design documents and specifications for Central Water Treatment Plant Process Upgrade.</t>
  </si>
  <si>
    <t xml:space="preserve">1.03.3</t>
  </si>
  <si>
    <t xml:space="preserve">P03-CA03</t>
  </si>
  <si>
    <t xml:space="preserve">Procurement phase for Central Water Treatment Plant Process Upgrade: solicit, award, and execute construction and/or equipment contracts.</t>
  </si>
  <si>
    <t xml:space="preserve">1.03.3.1</t>
  </si>
  <si>
    <t xml:space="preserve">P03-WP031</t>
  </si>
  <si>
    <t xml:space="preserve">Prepare bid documents and solicit contractor/vendor proposals for Central Water Treatment Plant Process Upgrade.</t>
  </si>
  <si>
    <t xml:space="preserve">1.03.3.2</t>
  </si>
  <si>
    <t xml:space="preserve">P03-WP032</t>
  </si>
  <si>
    <t xml:space="preserve">Award the contract and mobilize the contractor/vendor for Central Water Treatment Plant Process Upgrade.</t>
  </si>
  <si>
    <t xml:space="preserve">1.03.4</t>
  </si>
  <si>
    <t xml:space="preserve">P03-CA04</t>
  </si>
  <si>
    <t xml:space="preserve">Construction phase for Central Water Treatment Plant Process Upgrade: execute physical construction, installation, or implementation work.</t>
  </si>
  <si>
    <t xml:space="preserve">1.03.4.1</t>
  </si>
  <si>
    <t xml:space="preserve">P03-WP041</t>
  </si>
  <si>
    <t xml:space="preserve">Process Mechanical Installation</t>
  </si>
  <si>
    <t xml:space="preserve">Install new process mechanical equipment (clarifiers, filters, pumps) per the treatment process design.</t>
  </si>
  <si>
    <t xml:space="preserve">1.03.4.2</t>
  </si>
  <si>
    <t xml:space="preserve">P03-WP042</t>
  </si>
  <si>
    <t xml:space="preserve">Electrical &amp; Instrumentation Installation</t>
  </si>
  <si>
    <t xml:space="preserve">Install new electrical distribution, control panels, and process instrumentation.</t>
  </si>
  <si>
    <t xml:space="preserve">1.03.4.3</t>
  </si>
  <si>
    <t xml:space="preserve">P03-WP043</t>
  </si>
  <si>
    <t xml:space="preserve">Chemical Feed System Installation</t>
  </si>
  <si>
    <t xml:space="preserve">Install new chemical storage, feed pumps, and containment for treatment process chemicals.</t>
  </si>
  <si>
    <t xml:space="preserve">1.03.5</t>
  </si>
  <si>
    <t xml:space="preserve">P03-CA05</t>
  </si>
  <si>
    <t xml:space="preserve">Testing &amp; Commissioning phase for Central Water Treatment Plant Process Upgrade: test, start up, and verify system performance prior to acceptance.</t>
  </si>
  <si>
    <t xml:space="preserve">1.03.5.1</t>
  </si>
  <si>
    <t xml:space="preserve">P03-WP051</t>
  </si>
  <si>
    <t xml:space="preserve">Process Startup &amp; Functional Testing</t>
  </si>
  <si>
    <t xml:space="preserve">Perform sequential process startup and functional testing of new mechanical and electrical systems.</t>
  </si>
  <si>
    <t xml:space="preserve">1.03.5.2</t>
  </si>
  <si>
    <t xml:space="preserve">P03-WP052</t>
  </si>
  <si>
    <t xml:space="preserve">Performance / Acceptance Testing</t>
  </si>
  <si>
    <t xml:space="preserve">Conduct performance testing against design criteria and regulatory treatment standards.</t>
  </si>
  <si>
    <t xml:space="preserve">1.03.5.3</t>
  </si>
  <si>
    <t xml:space="preserve">P03-WP053</t>
  </si>
  <si>
    <t xml:space="preserve">Regulatory Sign-off &amp; SCADA Integration Checkout</t>
  </si>
  <si>
    <t xml:space="preserve">Coordinate state regulatory sign-off and verify full SCADA integration prior to substantial completion.</t>
  </si>
  <si>
    <t xml:space="preserve">1.03.6</t>
  </si>
  <si>
    <t xml:space="preserve">P03-CA06</t>
  </si>
  <si>
    <t xml:space="preserve">Closeout phase for Central Water Treatment Plant Process Upgrade: complete punch-list items, finalize documentation, and transfer the asset to operations.</t>
  </si>
  <si>
    <t xml:space="preserve">1.03.6.1</t>
  </si>
  <si>
    <t xml:space="preserve">P03-WP061</t>
  </si>
  <si>
    <t xml:space="preserve">Compile as-built documentation and turn over the completed asset to operations for Central Water Treatment Plant Process Upgrade.</t>
  </si>
  <si>
    <t xml:space="preserve">1.03.6.2</t>
  </si>
  <si>
    <t xml:space="preserve">P03-WP062</t>
  </si>
  <si>
    <t xml:space="preserve">Reconcile final costs, close out contracts, and complete financial closeout for Central Water Treatment Plant Process Upgrade.</t>
  </si>
  <si>
    <t xml:space="preserve">1.04.1</t>
  </si>
  <si>
    <t xml:space="preserve">P04-CA01</t>
  </si>
  <si>
    <t xml:space="preserve">Planning phase for Hilltop Storage Tank Rehabilitation: confirm scope, budget, and regulatory requirements, and align with the overall program schedule.</t>
  </si>
  <si>
    <t xml:space="preserve">1.04.1.1</t>
  </si>
  <si>
    <t xml:space="preserve">P04-WP011</t>
  </si>
  <si>
    <t xml:space="preserve">Confirm the justification, condition assessment, and need for Hilltop Storage Tank Rehabilitation.</t>
  </si>
  <si>
    <t xml:space="preserve">1.04.1.2</t>
  </si>
  <si>
    <t xml:space="preserve">P04-WP012</t>
  </si>
  <si>
    <t xml:space="preserve">Finalize scope boundaries, success criteria, and program alignment for Hilltop Storage Tank Rehabilitation.</t>
  </si>
  <si>
    <t xml:space="preserve">1.04.2</t>
  </si>
  <si>
    <t xml:space="preserve">P04-CA02</t>
  </si>
  <si>
    <t xml:space="preserve">Design phase for Hilltop Storage Tank Rehabilitation: develop and finalize engineering design to support procurement and construction.</t>
  </si>
  <si>
    <t xml:space="preserve">1.04.2.1</t>
  </si>
  <si>
    <t xml:space="preserve">P04-WP021</t>
  </si>
  <si>
    <t xml:space="preserve">Develop preliminary (~30%) design concepts and basis of design for Hilltop Storage Tank Rehabilitation.</t>
  </si>
  <si>
    <t xml:space="preserve">1.04.2.2</t>
  </si>
  <si>
    <t xml:space="preserve">P04-WP022</t>
  </si>
  <si>
    <t xml:space="preserve">Complete final (100%) design documents and specifications for Hilltop Storage Tank Rehabilitation.</t>
  </si>
  <si>
    <t xml:space="preserve">1.04.3</t>
  </si>
  <si>
    <t xml:space="preserve">P04-CA03</t>
  </si>
  <si>
    <t xml:space="preserve">Procurement phase for Hilltop Storage Tank Rehabilitation: solicit, award, and execute construction and/or equipment contracts.</t>
  </si>
  <si>
    <t xml:space="preserve">1.04.3.1</t>
  </si>
  <si>
    <t xml:space="preserve">P04-WP031</t>
  </si>
  <si>
    <t xml:space="preserve">Prepare bid documents and solicit contractor/vendor proposals for Hilltop Storage Tank Rehabilitation.</t>
  </si>
  <si>
    <t xml:space="preserve">1.04.3.2</t>
  </si>
  <si>
    <t xml:space="preserve">P04-WP032</t>
  </si>
  <si>
    <t xml:space="preserve">Award the contract and mobilize the contractor/vendor for Hilltop Storage Tank Rehabilitation.</t>
  </si>
  <si>
    <t xml:space="preserve">1.04.4</t>
  </si>
  <si>
    <t xml:space="preserve">P04-CA04</t>
  </si>
  <si>
    <t xml:space="preserve">Construction phase for Hilltop Storage Tank Rehabilitation: execute physical construction, installation, or implementation work.</t>
  </si>
  <si>
    <t xml:space="preserve">1.04.4.1</t>
  </si>
  <si>
    <t xml:space="preserve">P04-WP041</t>
  </si>
  <si>
    <t xml:space="preserve">Tank Interior/Exterior Coating</t>
  </si>
  <si>
    <t xml:space="preserve">Prepare surfaces and apply new interior and exterior protective coating systems to the storage tank.</t>
  </si>
  <si>
    <t xml:space="preserve">1.04.4.2</t>
  </si>
  <si>
    <t xml:space="preserve">P04-WP042</t>
  </si>
  <si>
    <t xml:space="preserve">Structural Steel Repairs</t>
  </si>
  <si>
    <t xml:space="preserve">Repair or replace corroded structural steel members identified during inspection.</t>
  </si>
  <si>
    <t xml:space="preserve">1.04.4.3</t>
  </si>
  <si>
    <t xml:space="preserve">P04-WP043</t>
  </si>
  <si>
    <t xml:space="preserve">Cathodic Protection System Installation</t>
  </si>
  <si>
    <t xml:space="preserve">Install a new impressed-current cathodic protection system to mitigate future corrosion.</t>
  </si>
  <si>
    <t xml:space="preserve">1.04.5</t>
  </si>
  <si>
    <t xml:space="preserve">P04-CA05</t>
  </si>
  <si>
    <t xml:space="preserve">Testing &amp; Commissioning phase for Hilltop Storage Tank Rehabilitation: test, start up, and verify system performance prior to acceptance.</t>
  </si>
  <si>
    <t xml:space="preserve">1.04.5.1</t>
  </si>
  <si>
    <t xml:space="preserve">P04-WP051</t>
  </si>
  <si>
    <t xml:space="preserve">Perform startup and functional testing of completed work for Hilltop Storage Tank Rehabilitation.</t>
  </si>
  <si>
    <t xml:space="preserve">1.04.6</t>
  </si>
  <si>
    <t xml:space="preserve">P04-CA06</t>
  </si>
  <si>
    <t xml:space="preserve">Closeout phase for Hilltop Storage Tank Rehabilitation: complete punch-list items, finalize documentation, and transfer the asset to operations.</t>
  </si>
  <si>
    <t xml:space="preserve">1.04.6.1</t>
  </si>
  <si>
    <t xml:space="preserve">P04-WP061</t>
  </si>
  <si>
    <t xml:space="preserve">Compile as-built documentation and turn over the completed asset to operations for Hilltop Storage Tank Rehabilitation.</t>
  </si>
  <si>
    <t xml:space="preserve">1.04.6.2</t>
  </si>
  <si>
    <t xml:space="preserve">P04-WP062</t>
  </si>
  <si>
    <t xml:space="preserve">Reconcile final costs, close out contracts, and complete financial closeout for Hilltop Storage Tank Rehabilitation.</t>
  </si>
  <si>
    <t xml:space="preserve">1.05.1</t>
  </si>
  <si>
    <t xml:space="preserve">P05-CA01</t>
  </si>
  <si>
    <t xml:space="preserve">Planning phase for Lead Service Line Replacement - Phase 1: confirm scope, budget, and regulatory requirements, and align with the overall program schedule.</t>
  </si>
  <si>
    <t xml:space="preserve">1.05.1.1</t>
  </si>
  <si>
    <t xml:space="preserve">P05-WP011</t>
  </si>
  <si>
    <t xml:space="preserve">Confirm the justification, condition assessment, and need for Lead Service Line Replacement - Phase 1.</t>
  </si>
  <si>
    <t xml:space="preserve">1.05.1.2</t>
  </si>
  <si>
    <t xml:space="preserve">P05-WP012</t>
  </si>
  <si>
    <t xml:space="preserve">Finalize scope boundaries, success criteria, and program alignment for Lead Service Line Replacement - Phase 1.</t>
  </si>
  <si>
    <t xml:space="preserve">1.05.2</t>
  </si>
  <si>
    <t xml:space="preserve">P05-CA02</t>
  </si>
  <si>
    <t xml:space="preserve">Design phase for Lead Service Line Replacement - Phase 1: develop and finalize engineering design to support procurement and construction.</t>
  </si>
  <si>
    <t xml:space="preserve">1.05.2.1</t>
  </si>
  <si>
    <t xml:space="preserve">P05-WP021</t>
  </si>
  <si>
    <t xml:space="preserve">Develop preliminary (~30%) design concepts and basis of design for Lead Service Line Replacement - Phase 1.</t>
  </si>
  <si>
    <t xml:space="preserve">1.05.2.2</t>
  </si>
  <si>
    <t xml:space="preserve">P05-WP022</t>
  </si>
  <si>
    <t xml:space="preserve">Complete final (100%) design documents and specifications for Lead Service Line Replacement - Phase 1.</t>
  </si>
  <si>
    <t xml:space="preserve">1.05.3</t>
  </si>
  <si>
    <t xml:space="preserve">P05-CA03</t>
  </si>
  <si>
    <t xml:space="preserve">Procurement phase for Lead Service Line Replacement - Phase 1: solicit, award, and execute construction and/or equipment contracts.</t>
  </si>
  <si>
    <t xml:space="preserve">1.05.3.1</t>
  </si>
  <si>
    <t xml:space="preserve">P05-WP031</t>
  </si>
  <si>
    <t xml:space="preserve">Prepare bid documents and solicit contractor/vendor proposals for Lead Service Line Replacement - Phase 1.</t>
  </si>
  <si>
    <t xml:space="preserve">1.05.3.2</t>
  </si>
  <si>
    <t xml:space="preserve">P05-WP032</t>
  </si>
  <si>
    <t xml:space="preserve">Award the contract and mobilize the contractor/vendor for Lead Service Line Replacement - Phase 1.</t>
  </si>
  <si>
    <t xml:space="preserve">1.05.4</t>
  </si>
  <si>
    <t xml:space="preserve">P05-CA04</t>
  </si>
  <si>
    <t xml:space="preserve">Construction phase for Lead Service Line Replacement - Phase 1: execute physical construction, installation, or implementation work.</t>
  </si>
  <si>
    <t xml:space="preserve">1.05.4.1</t>
  </si>
  <si>
    <t xml:space="preserve">P05-WP041</t>
  </si>
  <si>
    <t xml:space="preserve">Service Line Excavation &amp; Replacement</t>
  </si>
  <si>
    <t xml:space="preserve">Excavate and replace individual lead service lines with new copper or approved alternative piping.</t>
  </si>
  <si>
    <t xml:space="preserve">1.05.4.2</t>
  </si>
  <si>
    <t xml:space="preserve">P05-WP042</t>
  </si>
  <si>
    <t xml:space="preserve">Property Restoration</t>
  </si>
  <si>
    <t xml:space="preserve">Restore landscaping, driveways, and other surface features disturbed at each service address.</t>
  </si>
  <si>
    <t xml:space="preserve">1.05.4.3</t>
  </si>
  <si>
    <t xml:space="preserve">P05-WP043</t>
  </si>
  <si>
    <t xml:space="preserve">Water Quality Sampling &amp; Verification</t>
  </si>
  <si>
    <t xml:space="preserve">Collect and analyze post-replacement water samples to verify compliance with lead action levels.</t>
  </si>
  <si>
    <t xml:space="preserve">1.05.5</t>
  </si>
  <si>
    <t xml:space="preserve">P05-CA05</t>
  </si>
  <si>
    <t xml:space="preserve">Testing &amp; Commissioning phase for Lead Service Line Replacement - Phase 1: test, start up, and verify system performance prior to acceptance.</t>
  </si>
  <si>
    <t xml:space="preserve">1.05.5.1</t>
  </si>
  <si>
    <t xml:space="preserve">P05-WP051</t>
  </si>
  <si>
    <t xml:space="preserve">Perform startup and functional testing of completed work for Lead Service Line Replacement - Phase 1.</t>
  </si>
  <si>
    <t xml:space="preserve">1.05.6</t>
  </si>
  <si>
    <t xml:space="preserve">P05-CA06</t>
  </si>
  <si>
    <t xml:space="preserve">Closeout phase for Lead Service Line Replacement - Phase 1: complete punch-list items, finalize documentation, and transfer the asset to operations.</t>
  </si>
  <si>
    <t xml:space="preserve">1.05.6.1</t>
  </si>
  <si>
    <t xml:space="preserve">P05-WP061</t>
  </si>
  <si>
    <t xml:space="preserve">Compile as-built documentation and turn over the completed asset to operations for Lead Service Line Replacement - Phase 1.</t>
  </si>
  <si>
    <t xml:space="preserve">1.05.6.2</t>
  </si>
  <si>
    <t xml:space="preserve">P05-WP062</t>
  </si>
  <si>
    <t xml:space="preserve">Reconcile final costs, close out contracts, and complete financial closeout for Lead Service Line Replacement - Phase 1.</t>
  </si>
  <si>
    <t xml:space="preserve">1.06.1</t>
  </si>
  <si>
    <t xml:space="preserve">P06-CA01</t>
  </si>
  <si>
    <t xml:space="preserve">Planning phase for AMI / Smart Meter Modernization: confirm scope, budget, and regulatory requirements, and align with the overall program schedule.</t>
  </si>
  <si>
    <t xml:space="preserve">1.06.1.1</t>
  </si>
  <si>
    <t xml:space="preserve">P06-WP011</t>
  </si>
  <si>
    <t xml:space="preserve">Confirm the justification, condition assessment, and need for AMI / Smart Meter Modernization.</t>
  </si>
  <si>
    <t xml:space="preserve">1.06.1.2</t>
  </si>
  <si>
    <t xml:space="preserve">P06-WP012</t>
  </si>
  <si>
    <t xml:space="preserve">Finalize scope boundaries, success criteria, and program alignment for AMI / Smart Meter Modernization.</t>
  </si>
  <si>
    <t xml:space="preserve">1.06.2</t>
  </si>
  <si>
    <t xml:space="preserve">P06-CA02</t>
  </si>
  <si>
    <t xml:space="preserve">Design phase for AMI / Smart Meter Modernization: develop and finalize engineering design to support procurement and construction.</t>
  </si>
  <si>
    <t xml:space="preserve">1.06.2.1</t>
  </si>
  <si>
    <t xml:space="preserve">P06-WP021</t>
  </si>
  <si>
    <t xml:space="preserve">Develop preliminary (~30%) design concepts and basis of design for AMI / Smart Meter Modernization.</t>
  </si>
  <si>
    <t xml:space="preserve">1.06.2.2</t>
  </si>
  <si>
    <t xml:space="preserve">P06-WP022</t>
  </si>
  <si>
    <t xml:space="preserve">Complete final (100%) design documents and specifications for AMI / Smart Meter Modernization.</t>
  </si>
  <si>
    <t xml:space="preserve">1.06.3</t>
  </si>
  <si>
    <t xml:space="preserve">P06-CA03</t>
  </si>
  <si>
    <t xml:space="preserve">Procurement phase for AMI / Smart Meter Modernization: solicit, award, and execute construction and/or equipment contracts.</t>
  </si>
  <si>
    <t xml:space="preserve">1.06.3.1</t>
  </si>
  <si>
    <t xml:space="preserve">P06-WP031</t>
  </si>
  <si>
    <t xml:space="preserve">Prepare bid documents and solicit contractor/vendor proposals for AMI / Smart Meter Modernization.</t>
  </si>
  <si>
    <t xml:space="preserve">1.06.3.2</t>
  </si>
  <si>
    <t xml:space="preserve">P06-WP032</t>
  </si>
  <si>
    <t xml:space="preserve">Award the contract and mobilize the contractor/vendor for AMI / Smart Meter Modernization.</t>
  </si>
  <si>
    <t xml:space="preserve">1.06.4</t>
  </si>
  <si>
    <t xml:space="preserve">P06-CA04</t>
  </si>
  <si>
    <t xml:space="preserve">Construction phase for AMI / Smart Meter Modernization: execute physical construction, installation, or implementation work.</t>
  </si>
  <si>
    <t xml:space="preserve">1.06.4.1</t>
  </si>
  <si>
    <t xml:space="preserve">P06-WP041</t>
  </si>
  <si>
    <t xml:space="preserve">Meter Deployment &amp; Installation</t>
  </si>
  <si>
    <t xml:space="preserve">Remove existing meters and install new AMI-compatible meters at customer premises.</t>
  </si>
  <si>
    <t xml:space="preserve">1.06.4.2</t>
  </si>
  <si>
    <t xml:space="preserve">P06-WP042</t>
  </si>
  <si>
    <t xml:space="preserve">Head-End System Integration</t>
  </si>
  <si>
    <t xml:space="preserve">Install and configure the head-end data collection system and network gateways.</t>
  </si>
  <si>
    <t xml:space="preserve">1.06.4.3</t>
  </si>
  <si>
    <t xml:space="preserve">P06-WP043</t>
  </si>
  <si>
    <t xml:space="preserve">Customer Data Migration &amp; Validation</t>
  </si>
  <si>
    <t xml:space="preserve">Migrate existing customer account and consumption data into the new metering platform and validate accuracy.</t>
  </si>
  <si>
    <t xml:space="preserve">1.06.5</t>
  </si>
  <si>
    <t xml:space="preserve">P06-CA05</t>
  </si>
  <si>
    <t xml:space="preserve">Testing &amp; Commissioning phase for AMI / Smart Meter Modernization: test, start up, and verify system performance prior to acceptance.</t>
  </si>
  <si>
    <t xml:space="preserve">1.06.5.1</t>
  </si>
  <si>
    <t xml:space="preserve">P06-WP051</t>
  </si>
  <si>
    <t xml:space="preserve">Perform startup and functional testing of completed work for AMI / Smart Meter Modernization.</t>
  </si>
  <si>
    <t xml:space="preserve">1.06.6</t>
  </si>
  <si>
    <t xml:space="preserve">P06-CA06</t>
  </si>
  <si>
    <t xml:space="preserve">Closeout phase for AMI / Smart Meter Modernization: complete punch-list items, finalize documentation, and transfer the asset to operations.</t>
  </si>
  <si>
    <t xml:space="preserve">1.06.6.1</t>
  </si>
  <si>
    <t xml:space="preserve">P06-WP061</t>
  </si>
  <si>
    <t xml:space="preserve">Compile as-built documentation and turn over the completed asset to operations for AMI / Smart Meter Modernization.</t>
  </si>
  <si>
    <t xml:space="preserve">1.06.6.2</t>
  </si>
  <si>
    <t xml:space="preserve">P06-WP062</t>
  </si>
  <si>
    <t xml:space="preserve">Reconcile final costs, close out contracts, and complete financial closeout for AMI / Smart Meter Modernization.</t>
  </si>
  <si>
    <t xml:space="preserve">1.07.1</t>
  </si>
  <si>
    <t xml:space="preserve">P07-CA01</t>
  </si>
  <si>
    <t xml:space="preserve">Planning phase for East Zone Pressure Management Improvements: confirm scope, budget, and regulatory requirements, and align with the overall program schedule.</t>
  </si>
  <si>
    <t xml:space="preserve">1.07.1.1</t>
  </si>
  <si>
    <t xml:space="preserve">P07-WP011</t>
  </si>
  <si>
    <t xml:space="preserve">Confirm the justification, condition assessment, and need for East Zone Pressure Management Improvements.</t>
  </si>
  <si>
    <t xml:space="preserve">1.07.1.2</t>
  </si>
  <si>
    <t xml:space="preserve">P07-WP012</t>
  </si>
  <si>
    <t xml:space="preserve">Finalize scope boundaries, success criteria, and program alignment for East Zone Pressure Management Improvements.</t>
  </si>
  <si>
    <t xml:space="preserve">1.07.2</t>
  </si>
  <si>
    <t xml:space="preserve">P07-CA02</t>
  </si>
  <si>
    <t xml:space="preserve">Design phase for East Zone Pressure Management Improvements: develop and finalize engineering design to support procurement and construction.</t>
  </si>
  <si>
    <t xml:space="preserve">1.07.2.1</t>
  </si>
  <si>
    <t xml:space="preserve">P07-WP021</t>
  </si>
  <si>
    <t xml:space="preserve">Develop preliminary (~30%) design concepts and basis of design for East Zone Pressure Management Improvements.</t>
  </si>
  <si>
    <t xml:space="preserve">1.07.2.2</t>
  </si>
  <si>
    <t xml:space="preserve">P07-WP022</t>
  </si>
  <si>
    <t xml:space="preserve">Complete final (100%) design documents and specifications for East Zone Pressure Management Improvements.</t>
  </si>
  <si>
    <t xml:space="preserve">1.07.3</t>
  </si>
  <si>
    <t xml:space="preserve">P07-CA03</t>
  </si>
  <si>
    <t xml:space="preserve">Procurement phase for East Zone Pressure Management Improvements: solicit, award, and execute construction and/or equipment contracts.</t>
  </si>
  <si>
    <t xml:space="preserve">1.07.3.1</t>
  </si>
  <si>
    <t xml:space="preserve">P07-WP031</t>
  </si>
  <si>
    <t xml:space="preserve">Prepare bid documents and solicit contractor/vendor proposals for East Zone Pressure Management Improvements.</t>
  </si>
  <si>
    <t xml:space="preserve">1.07.3.2</t>
  </si>
  <si>
    <t xml:space="preserve">P07-WP032</t>
  </si>
  <si>
    <t xml:space="preserve">Award the contract and mobilize the contractor/vendor for East Zone Pressure Management Improvements.</t>
  </si>
  <si>
    <t xml:space="preserve">1.07.4</t>
  </si>
  <si>
    <t xml:space="preserve">P07-CA04</t>
  </si>
  <si>
    <t xml:space="preserve">Construction phase for East Zone Pressure Management Improvements: execute physical construction, installation, or implementation work.</t>
  </si>
  <si>
    <t xml:space="preserve">1.07.4.1</t>
  </si>
  <si>
    <t xml:space="preserve">P07-WP041</t>
  </si>
  <si>
    <t xml:space="preserve">PRV Station Installation</t>
  </si>
  <si>
    <t xml:space="preserve">Construct new pressure-reducing valve vaults and install PRV equipment at designated zone boundaries.</t>
  </si>
  <si>
    <t xml:space="preserve">1.07.4.2</t>
  </si>
  <si>
    <t xml:space="preserve">P07-WP042</t>
  </si>
  <si>
    <t xml:space="preserve">Zone Isolation Valve Installation</t>
  </si>
  <si>
    <t xml:space="preserve">Install new isolation valves to establish discrete pressure zone boundaries.</t>
  </si>
  <si>
    <t xml:space="preserve">1.07.4.3</t>
  </si>
  <si>
    <t xml:space="preserve">P07-WP043</t>
  </si>
  <si>
    <t xml:space="preserve">Pressure Monitoring Instrumentation</t>
  </si>
  <si>
    <t xml:space="preserve">Install remote pressure monitoring sensors and telemetry at key system locations.</t>
  </si>
  <si>
    <t xml:space="preserve">1.07.5</t>
  </si>
  <si>
    <t xml:space="preserve">P07-CA05</t>
  </si>
  <si>
    <t xml:space="preserve">Testing &amp; Commissioning phase for East Zone Pressure Management Improvements: test, start up, and verify system performance prior to acceptance.</t>
  </si>
  <si>
    <t xml:space="preserve">1.07.5.1</t>
  </si>
  <si>
    <t xml:space="preserve">P07-WP051</t>
  </si>
  <si>
    <t xml:space="preserve">Perform startup and functional testing of completed work for East Zone Pressure Management Improvements.</t>
  </si>
  <si>
    <t xml:space="preserve">1.07.6</t>
  </si>
  <si>
    <t xml:space="preserve">P07-CA06</t>
  </si>
  <si>
    <t xml:space="preserve">Closeout phase for East Zone Pressure Management Improvements: complete punch-list items, finalize documentation, and transfer the asset to operations.</t>
  </si>
  <si>
    <t xml:space="preserve">1.07.6.1</t>
  </si>
  <si>
    <t xml:space="preserve">P07-WP061</t>
  </si>
  <si>
    <t xml:space="preserve">Compile as-built documentation and turn over the completed asset to operations for East Zone Pressure Management Improvements.</t>
  </si>
  <si>
    <t xml:space="preserve">1.07.6.2</t>
  </si>
  <si>
    <t xml:space="preserve">P07-WP062</t>
  </si>
  <si>
    <t xml:space="preserve">Reconcile final costs, close out contracts, and complete financial closeout for East Zone Pressure Management Improvements.</t>
  </si>
  <si>
    <t xml:space="preserve">1.08.1</t>
  </si>
  <si>
    <t xml:space="preserve">P08-CA01</t>
  </si>
  <si>
    <t xml:space="preserve">Planning phase for Emergency Generator &amp; Electrical Resiliency: confirm scope, budget, and regulatory requirements, and align with the overall program schedule.</t>
  </si>
  <si>
    <t xml:space="preserve">1.08.1.1</t>
  </si>
  <si>
    <t xml:space="preserve">P08-WP011</t>
  </si>
  <si>
    <t xml:space="preserve">Confirm the justification, condition assessment, and need for Emergency Generator &amp; Electrical Resiliency.</t>
  </si>
  <si>
    <t xml:space="preserve">1.08.1.2</t>
  </si>
  <si>
    <t xml:space="preserve">P08-WP012</t>
  </si>
  <si>
    <t xml:space="preserve">Finalize scope boundaries, success criteria, and program alignment for Emergency Generator &amp; Electrical Resiliency.</t>
  </si>
  <si>
    <t xml:space="preserve">1.08.2</t>
  </si>
  <si>
    <t xml:space="preserve">P08-CA02</t>
  </si>
  <si>
    <t xml:space="preserve">Design phase for Emergency Generator &amp; Electrical Resiliency: develop and finalize engineering design to support procurement and construction.</t>
  </si>
  <si>
    <t xml:space="preserve">1.08.2.1</t>
  </si>
  <si>
    <t xml:space="preserve">P08-WP021</t>
  </si>
  <si>
    <t xml:space="preserve">Develop preliminary (~30%) design concepts and basis of design for Emergency Generator &amp; Electrical Resiliency.</t>
  </si>
  <si>
    <t xml:space="preserve">1.08.2.2</t>
  </si>
  <si>
    <t xml:space="preserve">P08-WP022</t>
  </si>
  <si>
    <t xml:space="preserve">Complete final (100%) design documents and specifications for Emergency Generator &amp; Electrical Resiliency.</t>
  </si>
  <si>
    <t xml:space="preserve">1.08.3</t>
  </si>
  <si>
    <t xml:space="preserve">P08-CA03</t>
  </si>
  <si>
    <t xml:space="preserve">Procurement phase for Emergency Generator &amp; Electrical Resiliency: solicit, award, and execute construction and/or equipment contracts.</t>
  </si>
  <si>
    <t xml:space="preserve">1.08.3.1</t>
  </si>
  <si>
    <t xml:space="preserve">P08-WP031</t>
  </si>
  <si>
    <t xml:space="preserve">Prepare bid documents and solicit contractor/vendor proposals for Emergency Generator &amp; Electrical Resiliency.</t>
  </si>
  <si>
    <t xml:space="preserve">1.08.3.2</t>
  </si>
  <si>
    <t xml:space="preserve">P08-WP032</t>
  </si>
  <si>
    <t xml:space="preserve">Award the contract and mobilize the contractor/vendor for Emergency Generator &amp; Electrical Resiliency.</t>
  </si>
  <si>
    <t xml:space="preserve">1.08.4</t>
  </si>
  <si>
    <t xml:space="preserve">P08-CA04</t>
  </si>
  <si>
    <t xml:space="preserve">Construction phase for Emergency Generator &amp; Electrical Resiliency: execute physical construction, installation, or implementation work.</t>
  </si>
  <si>
    <t xml:space="preserve">1.08.4.1</t>
  </si>
  <si>
    <t xml:space="preserve">P08-WP041</t>
  </si>
  <si>
    <t xml:space="preserve">Generator Installation</t>
  </si>
  <si>
    <t xml:space="preserve">Install new standby generator units and associated foundations/enclosures at each site.</t>
  </si>
  <si>
    <t xml:space="preserve">1.08.4.2</t>
  </si>
  <si>
    <t xml:space="preserve">P08-WP042</t>
  </si>
  <si>
    <t xml:space="preserve">Automatic Transfer Switch Installation</t>
  </si>
  <si>
    <t xml:space="preserve">Install automatic transfer switches and integrate with existing electrical distribution.</t>
  </si>
  <si>
    <t xml:space="preserve">1.08.4.3</t>
  </si>
  <si>
    <t xml:space="preserve">P08-WP043</t>
  </si>
  <si>
    <t xml:space="preserve">Fuel Storage System Installation</t>
  </si>
  <si>
    <t xml:space="preserve">Install fuel storage tanks and supply piping per code requirements.</t>
  </si>
  <si>
    <t xml:space="preserve">1.08.5</t>
  </si>
  <si>
    <t xml:space="preserve">P08-CA05</t>
  </si>
  <si>
    <t xml:space="preserve">Testing &amp; Commissioning phase for Emergency Generator &amp; Electrical Resiliency: test, start up, and verify system performance prior to acceptance.</t>
  </si>
  <si>
    <t xml:space="preserve">1.08.5.1</t>
  </si>
  <si>
    <t xml:space="preserve">P08-WP051</t>
  </si>
  <si>
    <t xml:space="preserve">Perform startup and functional testing of completed work for Emergency Generator &amp; Electrical Resiliency.</t>
  </si>
  <si>
    <t xml:space="preserve">1.08.6</t>
  </si>
  <si>
    <t xml:space="preserve">P08-CA06</t>
  </si>
  <si>
    <t xml:space="preserve">Closeout phase for Emergency Generator &amp; Electrical Resiliency: complete punch-list items, finalize documentation, and transfer the asset to operations.</t>
  </si>
  <si>
    <t xml:space="preserve">1.08.6.1</t>
  </si>
  <si>
    <t xml:space="preserve">P08-WP061</t>
  </si>
  <si>
    <t xml:space="preserve">Compile as-built documentation and turn over the completed asset to operations for Emergency Generator &amp; Electrical Resiliency.</t>
  </si>
  <si>
    <t xml:space="preserve">1.08.6.2</t>
  </si>
  <si>
    <t xml:space="preserve">P08-WP062</t>
  </si>
  <si>
    <t xml:space="preserve">Reconcile final costs, close out contracts, and complete financial closeout for Emergency Generator &amp; Electrical Resiliency.</t>
  </si>
  <si>
    <t xml:space="preserve">1.09.1</t>
  </si>
  <si>
    <t xml:space="preserve">P09-CA01</t>
  </si>
  <si>
    <t xml:space="preserve">Planning phase for River Crossing Main Rehabilitation: confirm scope, budget, and regulatory requirements, and align with the overall program schedule.</t>
  </si>
  <si>
    <t xml:space="preserve">1.09.1.1</t>
  </si>
  <si>
    <t xml:space="preserve">P09-WP011</t>
  </si>
  <si>
    <t xml:space="preserve">Confirm the justification, condition assessment, and need for River Crossing Main Rehabilitation.</t>
  </si>
  <si>
    <t xml:space="preserve">1.09.1.2</t>
  </si>
  <si>
    <t xml:space="preserve">P09-WP012</t>
  </si>
  <si>
    <t xml:space="preserve">Finalize scope boundaries, success criteria, and program alignment for River Crossing Main Rehabilitation.</t>
  </si>
  <si>
    <t xml:space="preserve">1.09.2</t>
  </si>
  <si>
    <t xml:space="preserve">P09-CA02</t>
  </si>
  <si>
    <t xml:space="preserve">Design phase for River Crossing Main Rehabilitation: develop and finalize engineering design to support procurement and construction.</t>
  </si>
  <si>
    <t xml:space="preserve">1.09.2.1</t>
  </si>
  <si>
    <t xml:space="preserve">P09-WP021</t>
  </si>
  <si>
    <t xml:space="preserve">Develop preliminary (~30%) design concepts and basis of design for River Crossing Main Rehabilitation.</t>
  </si>
  <si>
    <t xml:space="preserve">1.09.2.2</t>
  </si>
  <si>
    <t xml:space="preserve">P09-WP022</t>
  </si>
  <si>
    <t xml:space="preserve">Complete final (100%) design documents and specifications for River Crossing Main Rehabilitation.</t>
  </si>
  <si>
    <t xml:space="preserve">1.09.3</t>
  </si>
  <si>
    <t xml:space="preserve">P09-CA03</t>
  </si>
  <si>
    <t xml:space="preserve">Procurement phase for River Crossing Main Rehabilitation: solicit, award, and execute construction and/or equipment contracts.</t>
  </si>
  <si>
    <t xml:space="preserve">1.09.3.1</t>
  </si>
  <si>
    <t xml:space="preserve">P09-WP031</t>
  </si>
  <si>
    <t xml:space="preserve">Prepare bid documents and solicit contractor/vendor proposals for River Crossing Main Rehabilitation.</t>
  </si>
  <si>
    <t xml:space="preserve">1.09.3.2</t>
  </si>
  <si>
    <t xml:space="preserve">P09-WP032</t>
  </si>
  <si>
    <t xml:space="preserve">Award the contract and mobilize the contractor/vendor for River Crossing Main Rehabilitation.</t>
  </si>
  <si>
    <t xml:space="preserve">1.09.4</t>
  </si>
  <si>
    <t xml:space="preserve">P09-CA04</t>
  </si>
  <si>
    <t xml:space="preserve">Construction phase for River Crossing Main Rehabilitation: execute physical construction, installation, or implementation work.</t>
  </si>
  <si>
    <t xml:space="preserve">1.09.4.1</t>
  </si>
  <si>
    <t xml:space="preserve">P09-WP041</t>
  </si>
  <si>
    <t xml:space="preserve">Directional Drilling / Crossing Installation</t>
  </si>
  <si>
    <t xml:space="preserve">Perform horizontal directional drilling to install new main beneath the river crossing.</t>
  </si>
  <si>
    <t xml:space="preserve">1.09.4.2</t>
  </si>
  <si>
    <t xml:space="preserve">P09-WP042</t>
  </si>
  <si>
    <t xml:space="preserve">Pipe Fusion &amp; Pressure Testing</t>
  </si>
  <si>
    <t xml:space="preserve">Fuse HDPE pipe segments and perform hydrostatic pressure testing of the completed crossing.</t>
  </si>
  <si>
    <t xml:space="preserve">1.09.4.3</t>
  </si>
  <si>
    <t xml:space="preserve">P09-WP043</t>
  </si>
  <si>
    <t xml:space="preserve">Riverbank Restoration</t>
  </si>
  <si>
    <t xml:space="preserve">Restore riverbank grading, erosion control, and vegetation at entry/exit pit locations.</t>
  </si>
  <si>
    <t xml:space="preserve">1.09.5</t>
  </si>
  <si>
    <t xml:space="preserve">P09-CA05</t>
  </si>
  <si>
    <t xml:space="preserve">Testing &amp; Commissioning phase for River Crossing Main Rehabilitation: test, start up, and verify system performance prior to acceptance.</t>
  </si>
  <si>
    <t xml:space="preserve">1.09.5.1</t>
  </si>
  <si>
    <t xml:space="preserve">P09-WP051</t>
  </si>
  <si>
    <t xml:space="preserve">Perform startup and functional testing of completed work for River Crossing Main Rehabilitation.</t>
  </si>
  <si>
    <t xml:space="preserve">1.09.6</t>
  </si>
  <si>
    <t xml:space="preserve">P09-CA06</t>
  </si>
  <si>
    <t xml:space="preserve">Closeout phase for River Crossing Main Rehabilitation: complete punch-list items, finalize documentation, and transfer the asset to operations.</t>
  </si>
  <si>
    <t xml:space="preserve">1.09.6.1</t>
  </si>
  <si>
    <t xml:space="preserve">P09-WP061</t>
  </si>
  <si>
    <t xml:space="preserve">Compile as-built documentation and turn over the completed asset to operations for River Crossing Main Rehabilitation.</t>
  </si>
  <si>
    <t xml:space="preserve">1.09.6.2</t>
  </si>
  <si>
    <t xml:space="preserve">P09-WP062</t>
  </si>
  <si>
    <t xml:space="preserve">Reconcile final costs, close out contracts, and complete financial closeout for River Crossing Main Rehabilitation.</t>
  </si>
  <si>
    <t xml:space="preserve">1.10.1</t>
  </si>
  <si>
    <t xml:space="preserve">P10-CA01</t>
  </si>
  <si>
    <t xml:space="preserve">Planning phase for SCADA Controls Modernization: confirm scope, budget, and regulatory requirements, and align with the overall program schedule.</t>
  </si>
  <si>
    <t xml:space="preserve">1.10.1.1</t>
  </si>
  <si>
    <t xml:space="preserve">P10-WP011</t>
  </si>
  <si>
    <t xml:space="preserve">Confirm the justification, condition assessment, and need for SCADA Controls Modernization.</t>
  </si>
  <si>
    <t xml:space="preserve">1.10.1.2</t>
  </si>
  <si>
    <t xml:space="preserve">P10-WP012</t>
  </si>
  <si>
    <t xml:space="preserve">Finalize scope boundaries, success criteria, and program alignment for SCADA Controls Modernization.</t>
  </si>
  <si>
    <t xml:space="preserve">1.10.2</t>
  </si>
  <si>
    <t xml:space="preserve">P10-CA02</t>
  </si>
  <si>
    <t xml:space="preserve">Design phase for SCADA Controls Modernization: develop and finalize engineering design to support procurement and construction.</t>
  </si>
  <si>
    <t xml:space="preserve">1.10.2.1</t>
  </si>
  <si>
    <t xml:space="preserve">P10-WP021</t>
  </si>
  <si>
    <t xml:space="preserve">Develop preliminary (~30%) design concepts and basis of design for SCADA Controls Modernization.</t>
  </si>
  <si>
    <t xml:space="preserve">1.10.2.2</t>
  </si>
  <si>
    <t xml:space="preserve">P10-WP022</t>
  </si>
  <si>
    <t xml:space="preserve">Complete final (100%) design documents and specifications for SCADA Controls Modernization.</t>
  </si>
  <si>
    <t xml:space="preserve">1.10.3</t>
  </si>
  <si>
    <t xml:space="preserve">P10-CA03</t>
  </si>
  <si>
    <t xml:space="preserve">Procurement phase for SCADA Controls Modernization: solicit, award, and execute construction and/or equipment contracts.</t>
  </si>
  <si>
    <t xml:space="preserve">1.10.3.1</t>
  </si>
  <si>
    <t xml:space="preserve">P10-WP031</t>
  </si>
  <si>
    <t xml:space="preserve">Prepare bid documents and solicit contractor/vendor proposals for SCADA Controls Modernization.</t>
  </si>
  <si>
    <t xml:space="preserve">1.10.3.2</t>
  </si>
  <si>
    <t xml:space="preserve">P10-WP032</t>
  </si>
  <si>
    <t xml:space="preserve">Award the contract and mobilize the contractor/vendor for SCADA Controls Modernization.</t>
  </si>
  <si>
    <t xml:space="preserve">1.10.4</t>
  </si>
  <si>
    <t xml:space="preserve">P10-CA04</t>
  </si>
  <si>
    <t xml:space="preserve">Construction phase for SCADA Controls Modernization: execute physical construction, installation, or implementation work.</t>
  </si>
  <si>
    <t xml:space="preserve">1.10.4.1</t>
  </si>
  <si>
    <t xml:space="preserve">P10-WP041</t>
  </si>
  <si>
    <t xml:space="preserve">PLC Programming &amp; Configuration</t>
  </si>
  <si>
    <t xml:space="preserve">Develop and configure PLC logic for affected pump stations and treatment facilities.</t>
  </si>
  <si>
    <t xml:space="preserve">1.10.4.2</t>
  </si>
  <si>
    <t xml:space="preserve">P10-WP042</t>
  </si>
  <si>
    <t xml:space="preserve">HMI Development</t>
  </si>
  <si>
    <t xml:space="preserve">Develop human-machine interface screens and alarm configurations for operator use.</t>
  </si>
  <si>
    <t xml:space="preserve">1.10.4.3</t>
  </si>
  <si>
    <t xml:space="preserve">P10-WP043</t>
  </si>
  <si>
    <t xml:space="preserve">Network &amp; Communications Infrastructure</t>
  </si>
  <si>
    <t xml:space="preserve">Install and configure the SCADA communications network linking field sites to the control center.</t>
  </si>
  <si>
    <t xml:space="preserve">1.10.5</t>
  </si>
  <si>
    <t xml:space="preserve">P10-CA05</t>
  </si>
  <si>
    <t xml:space="preserve">Testing &amp; Commissioning phase for SCADA Controls Modernization: test, start up, and verify system performance prior to acceptance.</t>
  </si>
  <si>
    <t xml:space="preserve">1.10.5.1</t>
  </si>
  <si>
    <t xml:space="preserve">P10-WP051</t>
  </si>
  <si>
    <t xml:space="preserve">Perform startup and functional testing of completed work for SCADA Controls Modernization.</t>
  </si>
  <si>
    <t xml:space="preserve">1.10.6</t>
  </si>
  <si>
    <t xml:space="preserve">P10-CA06</t>
  </si>
  <si>
    <t xml:space="preserve">Closeout phase for SCADA Controls Modernization: complete punch-list items, finalize documentation, and transfer the asset to operations.</t>
  </si>
  <si>
    <t xml:space="preserve">1.10.6.1</t>
  </si>
  <si>
    <t xml:space="preserve">P10-WP061</t>
  </si>
  <si>
    <t xml:space="preserve">Compile as-built documentation and turn over the completed asset to operations for SCADA Controls Modernization.</t>
  </si>
  <si>
    <t xml:space="preserve">1.10.6.2</t>
  </si>
  <si>
    <t xml:space="preserve">P10-WP062</t>
  </si>
  <si>
    <t xml:space="preserve">Reconcile final costs, close out contracts, and complete financial closeout for SCADA Controls Modernization.</t>
  </si>
  <si>
    <t xml:space="preserve">1.11.1</t>
  </si>
  <si>
    <t xml:space="preserve">P11-CA01</t>
  </si>
  <si>
    <t xml:space="preserve">Planning phase for Valve Replacement &amp; Isolation Program: confirm scope, budget, and regulatory requirements, and align with the overall program schedule.</t>
  </si>
  <si>
    <t xml:space="preserve">1.11.1.1</t>
  </si>
  <si>
    <t xml:space="preserve">P11-WP011</t>
  </si>
  <si>
    <t xml:space="preserve">Confirm the justification, condition assessment, and need for Valve Replacement &amp; Isolation Program.</t>
  </si>
  <si>
    <t xml:space="preserve">1.11.1.2</t>
  </si>
  <si>
    <t xml:space="preserve">P11-WP012</t>
  </si>
  <si>
    <t xml:space="preserve">Finalize scope boundaries, success criteria, and program alignment for Valve Replacement &amp; Isolation Program.</t>
  </si>
  <si>
    <t xml:space="preserve">1.11.2</t>
  </si>
  <si>
    <t xml:space="preserve">P11-CA02</t>
  </si>
  <si>
    <t xml:space="preserve">Design phase for Valve Replacement &amp; Isolation Program: develop and finalize engineering design to support procurement and construction.</t>
  </si>
  <si>
    <t xml:space="preserve">1.11.2.1</t>
  </si>
  <si>
    <t xml:space="preserve">P11-WP021</t>
  </si>
  <si>
    <t xml:space="preserve">Develop preliminary (~30%) design concepts and basis of design for Valve Replacement &amp; Isolation Program.</t>
  </si>
  <si>
    <t xml:space="preserve">1.11.2.2</t>
  </si>
  <si>
    <t xml:space="preserve">P11-WP022</t>
  </si>
  <si>
    <t xml:space="preserve">Complete final (100%) design documents and specifications for Valve Replacement &amp; Isolation Program.</t>
  </si>
  <si>
    <t xml:space="preserve">1.11.3</t>
  </si>
  <si>
    <t xml:space="preserve">P11-CA03</t>
  </si>
  <si>
    <t xml:space="preserve">Procurement phase for Valve Replacement &amp; Isolation Program: solicit, award, and execute construction and/or equipment contracts.</t>
  </si>
  <si>
    <t xml:space="preserve">1.11.3.1</t>
  </si>
  <si>
    <t xml:space="preserve">P11-WP031</t>
  </si>
  <si>
    <t xml:space="preserve">Prepare bid documents and solicit contractor/vendor proposals for Valve Replacement &amp; Isolation Program.</t>
  </si>
  <si>
    <t xml:space="preserve">1.11.3.2</t>
  </si>
  <si>
    <t xml:space="preserve">P11-WP032</t>
  </si>
  <si>
    <t xml:space="preserve">Award the contract and mobilize the contractor/vendor for Valve Replacement &amp; Isolation Program.</t>
  </si>
  <si>
    <t xml:space="preserve">1.11.4</t>
  </si>
  <si>
    <t xml:space="preserve">P11-CA04</t>
  </si>
  <si>
    <t xml:space="preserve">Construction phase for Valve Replacement &amp; Isolation Program: execute physical construction, installation, or implementation work.</t>
  </si>
  <si>
    <t xml:space="preserve">1.11.4.1</t>
  </si>
  <si>
    <t xml:space="preserve">P11-WP041</t>
  </si>
  <si>
    <t xml:space="preserve">Isolation Valve Installation</t>
  </si>
  <si>
    <t xml:space="preserve">Install new isolation valves at designated locations across the distribution system.</t>
  </si>
  <si>
    <t xml:space="preserve">1.11.4.2</t>
  </si>
  <si>
    <t xml:space="preserve">P11-WP042</t>
  </si>
  <si>
    <t xml:space="preserve">Distribution System Mapping Update</t>
  </si>
  <si>
    <t xml:space="preserve">Update GIS and system mapping records to reflect newly installed valve locations and status.</t>
  </si>
  <si>
    <t xml:space="preserve">1.11.4.3</t>
  </si>
  <si>
    <t xml:space="preserve">P11-WP043</t>
  </si>
  <si>
    <t xml:space="preserve">Site Restoration</t>
  </si>
  <si>
    <t xml:space="preserve">Restore pavement and surface conditions at each valve installation location.</t>
  </si>
  <si>
    <t xml:space="preserve">1.11.5</t>
  </si>
  <si>
    <t xml:space="preserve">P11-CA05</t>
  </si>
  <si>
    <t xml:space="preserve">Testing &amp; Commissioning phase for Valve Replacement &amp; Isolation Program: test, start up, and verify system performance prior to acceptance.</t>
  </si>
  <si>
    <t xml:space="preserve">1.11.5.1</t>
  </si>
  <si>
    <t xml:space="preserve">P11-WP051</t>
  </si>
  <si>
    <t xml:space="preserve">Perform startup and functional testing of completed work for Valve Replacement &amp; Isolation Program.</t>
  </si>
  <si>
    <t xml:space="preserve">1.11.6</t>
  </si>
  <si>
    <t xml:space="preserve">P11-CA06</t>
  </si>
  <si>
    <t xml:space="preserve">Closeout phase for Valve Replacement &amp; Isolation Program: complete punch-list items, finalize documentation, and transfer the asset to operations.</t>
  </si>
  <si>
    <t xml:space="preserve">1.11.6.1</t>
  </si>
  <si>
    <t xml:space="preserve">P11-WP061</t>
  </si>
  <si>
    <t xml:space="preserve">Compile as-built documentation and turn over the completed asset to operations for Valve Replacement &amp; Isolation Program.</t>
  </si>
  <si>
    <t xml:space="preserve">1.11.6.2</t>
  </si>
  <si>
    <t xml:space="preserve">P11-WP062</t>
  </si>
  <si>
    <t xml:space="preserve">Reconcile final costs, close out contracts, and complete financial closeout for Valve Replacement &amp; Isolation Program.</t>
  </si>
  <si>
    <t xml:space="preserve">1.12.1</t>
  </si>
  <si>
    <t xml:space="preserve">P12-CA01</t>
  </si>
  <si>
    <t xml:space="preserve">Planning &amp; Prioritization</t>
  </si>
  <si>
    <t xml:space="preserve">Planning &amp; Prioritization phase for Programwide Small Capital &amp; Emergency Response Improvements: confirm scope, budget, and regulatory requirements, and align with the overall program schedule.</t>
  </si>
  <si>
    <t xml:space="preserve">1.12.1.1</t>
  </si>
  <si>
    <t xml:space="preserve">P12-WP011</t>
  </si>
  <si>
    <t xml:space="preserve">Work Order Intake &amp; Prioritization</t>
  </si>
  <si>
    <t xml:space="preserve">Intake, screen, and prioritize candidate small-capital and emergency work orders across the program.</t>
  </si>
  <si>
    <t xml:space="preserve">1.12.2</t>
  </si>
  <si>
    <t xml:space="preserve">P12-CA02</t>
  </si>
  <si>
    <t xml:space="preserve">Design / Scope Development</t>
  </si>
  <si>
    <t xml:space="preserve">Design / Scope Development phase for Programwide Small Capital &amp; Emergency Response Improvements: develop and finalize engineering design to support procurement and construction.</t>
  </si>
  <si>
    <t xml:space="preserve">1.12.2.1</t>
  </si>
  <si>
    <t xml:space="preserve">P12-WP021</t>
  </si>
  <si>
    <t xml:space="preserve">Field Scoping &amp; Estimate</t>
  </si>
  <si>
    <t xml:space="preserve">Develop field scope and cost estimate for prioritized work orders.</t>
  </si>
  <si>
    <t xml:space="preserve">1.12.3</t>
  </si>
  <si>
    <t xml:space="preserve">P12-CA03</t>
  </si>
  <si>
    <t xml:space="preserve">Procurement phase for Programwide Small Capital &amp; Emergency Response Improvements: solicit, award, and execute construction and/or equipment contracts.</t>
  </si>
  <si>
    <t xml:space="preserve">1.12.3.1</t>
  </si>
  <si>
    <t xml:space="preserve">P12-WP031</t>
  </si>
  <si>
    <t xml:space="preserve">Contractor / Materials Procurement</t>
  </si>
  <si>
    <t xml:space="preserve">Procure contractor task-order support and/or materials for prioritized work orders.</t>
  </si>
  <si>
    <t xml:space="preserve">1.12.4</t>
  </si>
  <si>
    <t xml:space="preserve">P12-CA04</t>
  </si>
  <si>
    <t xml:space="preserve">Execution</t>
  </si>
  <si>
    <t xml:space="preserve">Field Operations / Contractor</t>
  </si>
  <si>
    <t xml:space="preserve">Execution phase for Programwide Small Capital &amp; Emergency Response Improvements: perform planned small-capital repairs and prioritized emergency-response work.</t>
  </si>
  <si>
    <t xml:space="preserve">1.12.4.1</t>
  </si>
  <si>
    <t xml:space="preserve">P12-WP041</t>
  </si>
  <si>
    <t xml:space="preserve">Small Capital Repair Execution</t>
  </si>
  <si>
    <t xml:space="preserve">Execute planned, prioritized small-capital repair work orders across the distribution system.</t>
  </si>
  <si>
    <t xml:space="preserve">1.12.4.2</t>
  </si>
  <si>
    <t xml:space="preserve">P12-WP042</t>
  </si>
  <si>
    <t xml:space="preserve">Emergency Response Work Execution</t>
  </si>
  <si>
    <t xml:space="preserve">Execute unplanned emergency repair work orders as they are identified and prioritized.</t>
  </si>
  <si>
    <t xml:space="preserve">1.12.5</t>
  </si>
  <si>
    <t xml:space="preserve">P12-CA05</t>
  </si>
  <si>
    <t xml:space="preserve">Verification / Acceptance</t>
  </si>
  <si>
    <t xml:space="preserve">Verification / Acceptance phase for Programwide Small Capital &amp; Emergency Response Improvements: confirm completed work meets specification before closing the work order.</t>
  </si>
  <si>
    <t xml:space="preserve">1.12.5.1</t>
  </si>
  <si>
    <t xml:space="preserve">P12-WP051</t>
  </si>
  <si>
    <t xml:space="preserve">Work Order Acceptance &amp; Sign-off</t>
  </si>
  <si>
    <t xml:space="preserve">Confirm completed work orders meet specification and obtain sign-off.</t>
  </si>
  <si>
    <t xml:space="preserve">1.12.6</t>
  </si>
  <si>
    <t xml:space="preserve">P12-CA06</t>
  </si>
  <si>
    <t xml:space="preserve">Closeout phase for Programwide Small Capital &amp; Emergency Response Improvements: complete punch-list items, finalize documentation, and transfer the asset to operations.</t>
  </si>
  <si>
    <t xml:space="preserve">1.12.6.1</t>
  </si>
  <si>
    <t xml:space="preserve">P12-WP061</t>
  </si>
  <si>
    <t xml:space="preserve">Documentation &amp; Work Order Closeout</t>
  </si>
  <si>
    <t xml:space="preserve">Finalize work order documentation and close out completed small-capital/emergency work orders.</t>
  </si>
  <si>
    <t xml:space="preserve">Schedule</t>
  </si>
  <si>
    <t xml:space="preserve">Not yet populated - built in Phase 2 (Baseline Schedule).</t>
  </si>
  <si>
    <t xml:space="preserve">activity_id</t>
  </si>
  <si>
    <t xml:space="preserve">activity_name</t>
  </si>
  <si>
    <t xml:space="preserve">wbs_code</t>
  </si>
  <si>
    <t xml:space="preserve">baseline_start</t>
  </si>
  <si>
    <t xml:space="preserve">baseline_finish</t>
  </si>
  <si>
    <t xml:space="preserve">forecast_start</t>
  </si>
  <si>
    <t xml:space="preserve">forecast_finish</t>
  </si>
  <si>
    <t xml:space="preserve">actual_start</t>
  </si>
  <si>
    <t xml:space="preserve">actual_finish</t>
  </si>
  <si>
    <t xml:space="preserve">duration_days</t>
  </si>
  <si>
    <t xml:space="preserve">predecessor</t>
  </si>
  <si>
    <t xml:space="preserve">percent_complete</t>
  </si>
  <si>
    <t xml:space="preserve">is_milestone</t>
  </si>
  <si>
    <t xml:space="preserve">critical_flag</t>
  </si>
  <si>
    <t xml:space="preserve">Monthly Costs</t>
  </si>
  <si>
    <t xml:space="preserve">Not yet populated - built in Phase 3 (Monthly Cost Model). Baseline monthly spend per project must sum to that project's BAC.</t>
  </si>
  <si>
    <t xml:space="preserve">month</t>
  </si>
  <si>
    <t xml:space="preserve">baseline_monthly</t>
  </si>
  <si>
    <t xml:space="preserve">baseline_cumulative</t>
  </si>
  <si>
    <t xml:space="preserve">actual_monthly</t>
  </si>
  <si>
    <t xml:space="preserve">actual_cumulative</t>
  </si>
  <si>
    <t xml:space="preserve">committed_cost</t>
  </si>
  <si>
    <t xml:space="preserve">forecast_remaining</t>
  </si>
  <si>
    <t xml:space="preserve">forecast_at_completion</t>
  </si>
  <si>
    <t xml:space="preserve">Evm</t>
  </si>
  <si>
    <t xml:space="preserve">Not yet populated - built in Phase 4 (Earned Value Management), calculated as of the status date (Mar 31, 2026).</t>
  </si>
  <si>
    <t xml:space="preserve">pv</t>
  </si>
  <si>
    <t xml:space="preserve">ev</t>
  </si>
  <si>
    <t xml:space="preserve">ac</t>
  </si>
  <si>
    <t xml:space="preserve">cv</t>
  </si>
  <si>
    <t xml:space="preserve">sv</t>
  </si>
  <si>
    <t xml:space="preserve">cpi</t>
  </si>
  <si>
    <t xml:space="preserve">spi</t>
  </si>
  <si>
    <t xml:space="preserve">eac</t>
  </si>
  <si>
    <t xml:space="preserve">etc</t>
  </si>
  <si>
    <t xml:space="preserve">vac</t>
  </si>
  <si>
    <t xml:space="preserve">rag_status</t>
  </si>
  <si>
    <t xml:space="preserve">Risks</t>
  </si>
  <si>
    <t xml:space="preserve">Not yet populated - built in Phase 5 (Risk Register). 25-40 risks planned across the program.</t>
  </si>
  <si>
    <t xml:space="preserve">risk_id</t>
  </si>
  <si>
    <t xml:space="preserve">risk_category</t>
  </si>
  <si>
    <t xml:space="preserve">risk_statement</t>
  </si>
  <si>
    <t xml:space="preserve">probability_score</t>
  </si>
  <si>
    <t xml:space="preserve">impact_score</t>
  </si>
  <si>
    <t xml:space="preserve">inherent_score</t>
  </si>
  <si>
    <t xml:space="preserve">owner</t>
  </si>
  <si>
    <t xml:space="preserve">response_strategy</t>
  </si>
  <si>
    <t xml:space="preserve">mitigation</t>
  </si>
  <si>
    <t xml:space="preserve">residual_probability</t>
  </si>
  <si>
    <t xml:space="preserve">residual_impact</t>
  </si>
  <si>
    <t xml:space="preserve">residual_score</t>
  </si>
  <si>
    <t xml:space="preserve">status</t>
  </si>
  <si>
    <t xml:space="preserve">Changes</t>
  </si>
  <si>
    <t xml:space="preserve">Not yet populated - built in Phase 6 (Change Control), including the featured $600K / six-week contractor change scenario.</t>
  </si>
  <si>
    <t xml:space="preserve">change_id</t>
  </si>
  <si>
    <t xml:space="preserve">change_description</t>
  </si>
  <si>
    <t xml:space="preserve">cause</t>
  </si>
  <si>
    <t xml:space="preserve">requested_date</t>
  </si>
  <si>
    <t xml:space="preserve">approval_status</t>
  </si>
  <si>
    <t xml:space="preserve">cost_impact</t>
  </si>
  <si>
    <t xml:space="preserve">schedule_impact_days</t>
  </si>
  <si>
    <t xml:space="preserve">contingency_drawdown</t>
  </si>
  <si>
    <t xml:space="preserve">approved_by</t>
  </si>
  <si>
    <t xml:space="preserve">Resources</t>
  </si>
  <si>
    <t xml:space="preserve">Not yet populated - built in Phase 7 (Staffing / Resource Plan).</t>
  </si>
  <si>
    <t xml:space="preserve">role</t>
  </si>
  <si>
    <t xml:space="preserve">planned_fte</t>
  </si>
  <si>
    <t xml:space="preserve">notes</t>
  </si>
  <si>
    <t xml:space="preserve">Vendors</t>
  </si>
  <si>
    <t xml:space="preserve">Not yet populated - built in Phase 7 (Contractor / Vendor Tracker).</t>
  </si>
  <si>
    <t xml:space="preserve">vendor_id</t>
  </si>
  <si>
    <t xml:space="preserve">vendor_name</t>
  </si>
  <si>
    <t xml:space="preserve">contract_value</t>
  </si>
  <si>
    <t xml:space="preserve">performance_notes</t>
  </si>
  <si>
    <t xml:space="preserve">Milestones</t>
  </si>
  <si>
    <t xml:space="preserve">Not yet populated - built in Phase 8 (Milestone Tracker). 35-50 milestones planned across the program.</t>
  </si>
  <si>
    <t xml:space="preserve">milestone_id</t>
  </si>
  <si>
    <t xml:space="preserve">milestone_name</t>
  </si>
  <si>
    <t xml:space="preserve">baseline_date</t>
  </si>
  <si>
    <t xml:space="preserve">forecast_date</t>
  </si>
  <si>
    <t xml:space="preserve">actual_date</t>
  </si>
  <si>
    <t xml:space="preserve">variance_days</t>
  </si>
  <si>
    <t xml:space="preserve">Kpi Thresholds</t>
  </si>
  <si>
    <t xml:space="preserve">Not yet populated - built in Phase 4, alongside EVM. Defines RAG (Red/Amber/Green) status logic. These are project assumptions, not industry-mandated values.</t>
  </si>
  <si>
    <t xml:space="preserve">kpi</t>
  </si>
  <si>
    <t xml:space="preserve">green_threshold</t>
  </si>
  <si>
    <t xml:space="preserve">amber_threshold</t>
  </si>
  <si>
    <t xml:space="preserve">red_threshold</t>
  </si>
  <si>
    <t xml:space="preserve">Dashboard Data</t>
  </si>
  <si>
    <t xml:space="preserve">Not yet populated - built in Phase 9 (Power BI Prep). Flattened export tables consumed by the Power BI dashboard.</t>
  </si>
  <si>
    <t xml:space="preserve">table_name</t>
  </si>
  <si>
    <t xml:space="preserve">description</t>
  </si>
  <si>
    <t xml:space="preserve">refreshed_from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</si>
</sst>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mmm\-yyyy"/>
    <numFmt numFmtId="168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8" min="6" style="0" width="12"/>
    <col collapsed="false" customWidth="true" hidden="false" outlineLevel="0" max="9" min="9" style="0" width="10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false" outlineLevel="0" collapsed="false">
      <c r="A2" s="5" t="s">
        <v>22</v>
      </c>
      <c r="B2" s="5"/>
      <c r="C2" s="5"/>
      <c r="D2" s="5"/>
      <c r="E2" s="5"/>
      <c r="F2" s="5"/>
      <c r="G2" s="5"/>
      <c r="H2" s="5"/>
      <c r="I2" s="5"/>
      <c r="J2" s="5"/>
    </row>
    <row r="4" customFormat="false" ht="39.55" hidden="false" customHeight="false" outlineLevel="0" collapsed="false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6" t="s">
        <v>32</v>
      </c>
    </row>
    <row r="5" customFormat="false" ht="15" hidden="false" customHeight="false" outlineLevel="0" collapsed="false">
      <c r="A5" s="7" t="s">
        <v>33</v>
      </c>
      <c r="B5" s="7" t="s">
        <v>34</v>
      </c>
      <c r="C5" s="7" t="s">
        <v>35</v>
      </c>
      <c r="D5" s="7" t="s">
        <v>36</v>
      </c>
      <c r="E5" s="8" t="n">
        <v>7400000</v>
      </c>
      <c r="F5" s="9" t="n">
        <f aca="false">E5/$E$17</f>
        <v>0.0836158192090395</v>
      </c>
      <c r="G5" s="10" t="n">
        <v>45658</v>
      </c>
      <c r="H5" s="10" t="n">
        <v>46054</v>
      </c>
      <c r="I5" s="11" t="n">
        <f aca="false">DATEDIF(G5,H5,"m")</f>
        <v>13</v>
      </c>
      <c r="J5" s="7" t="s">
        <v>37</v>
      </c>
    </row>
    <row r="6" customFormat="false" ht="15" hidden="false" customHeight="false" outlineLevel="0" collapsed="false">
      <c r="A6" s="7" t="s">
        <v>38</v>
      </c>
      <c r="B6" s="7" t="s">
        <v>39</v>
      </c>
      <c r="C6" s="7" t="s">
        <v>40</v>
      </c>
      <c r="D6" s="7" t="s">
        <v>41</v>
      </c>
      <c r="E6" s="8" t="n">
        <v>8800000</v>
      </c>
      <c r="F6" s="9" t="n">
        <f aca="false">E6/$E$17</f>
        <v>0.0994350282485876</v>
      </c>
      <c r="G6" s="10" t="n">
        <v>45689</v>
      </c>
      <c r="H6" s="10" t="n">
        <v>46266</v>
      </c>
      <c r="I6" s="11" t="n">
        <f aca="false">DATEDIF(G6,H6,"m")</f>
        <v>19</v>
      </c>
      <c r="J6" s="7" t="s">
        <v>42</v>
      </c>
    </row>
    <row r="7" customFormat="false" ht="15" hidden="false" customHeight="false" outlineLevel="0" collapsed="false">
      <c r="A7" s="7" t="s">
        <v>43</v>
      </c>
      <c r="B7" s="7" t="s">
        <v>44</v>
      </c>
      <c r="C7" s="7" t="s">
        <v>45</v>
      </c>
      <c r="D7" s="7" t="s">
        <v>46</v>
      </c>
      <c r="E7" s="8" t="n">
        <v>20300000</v>
      </c>
      <c r="F7" s="9" t="n">
        <f aca="false">E7/$E$17</f>
        <v>0.229378531073446</v>
      </c>
      <c r="G7" s="10" t="n">
        <v>45658</v>
      </c>
      <c r="H7" s="10" t="n">
        <v>46631</v>
      </c>
      <c r="I7" s="11" t="n">
        <f aca="false">DATEDIF(G7,H7,"m")</f>
        <v>32</v>
      </c>
      <c r="J7" s="7" t="s">
        <v>42</v>
      </c>
    </row>
    <row r="8" customFormat="false" ht="15" hidden="false" customHeight="false" outlineLevel="0" collapsed="false">
      <c r="A8" s="7" t="s">
        <v>47</v>
      </c>
      <c r="B8" s="7" t="s">
        <v>48</v>
      </c>
      <c r="C8" s="7" t="s">
        <v>49</v>
      </c>
      <c r="D8" s="7" t="s">
        <v>50</v>
      </c>
      <c r="E8" s="8" t="n">
        <v>5500000</v>
      </c>
      <c r="F8" s="9" t="n">
        <f aca="false">E8/$E$17</f>
        <v>0.0621468926553672</v>
      </c>
      <c r="G8" s="10" t="n">
        <v>45809</v>
      </c>
      <c r="H8" s="10" t="n">
        <v>46113</v>
      </c>
      <c r="I8" s="11" t="n">
        <f aca="false">DATEDIF(G8,H8,"m")</f>
        <v>10</v>
      </c>
      <c r="J8" s="7" t="s">
        <v>42</v>
      </c>
    </row>
    <row r="9" customFormat="false" ht="15" hidden="false" customHeight="false" outlineLevel="0" collapsed="false">
      <c r="A9" s="7" t="s">
        <v>51</v>
      </c>
      <c r="B9" s="7" t="s">
        <v>52</v>
      </c>
      <c r="C9" s="7" t="s">
        <v>53</v>
      </c>
      <c r="D9" s="7" t="s">
        <v>36</v>
      </c>
      <c r="E9" s="8" t="n">
        <v>11100000</v>
      </c>
      <c r="F9" s="9" t="n">
        <f aca="false">E9/$E$17</f>
        <v>0.125423728813559</v>
      </c>
      <c r="G9" s="10" t="n">
        <v>45717</v>
      </c>
      <c r="H9" s="10" t="n">
        <v>46357</v>
      </c>
      <c r="I9" s="11" t="n">
        <f aca="false">DATEDIF(G9,H9,"m")</f>
        <v>21</v>
      </c>
      <c r="J9" s="7" t="s">
        <v>42</v>
      </c>
    </row>
    <row r="10" customFormat="false" ht="15" hidden="false" customHeight="false" outlineLevel="0" collapsed="false">
      <c r="A10" s="7" t="s">
        <v>54</v>
      </c>
      <c r="B10" s="7" t="s">
        <v>55</v>
      </c>
      <c r="C10" s="7" t="s">
        <v>56</v>
      </c>
      <c r="D10" s="7" t="s">
        <v>57</v>
      </c>
      <c r="E10" s="8" t="n">
        <v>6900000</v>
      </c>
      <c r="F10" s="9" t="n">
        <f aca="false">E10/$E$17</f>
        <v>0.0779661016949153</v>
      </c>
      <c r="G10" s="10" t="n">
        <v>45870</v>
      </c>
      <c r="H10" s="10" t="n">
        <v>46296</v>
      </c>
      <c r="I10" s="11" t="n">
        <f aca="false">DATEDIF(G10,H10,"m")</f>
        <v>14</v>
      </c>
      <c r="J10" s="7" t="s">
        <v>42</v>
      </c>
    </row>
    <row r="11" customFormat="false" ht="15" hidden="false" customHeight="false" outlineLevel="0" collapsed="false">
      <c r="A11" s="7" t="s">
        <v>58</v>
      </c>
      <c r="B11" s="7" t="s">
        <v>59</v>
      </c>
      <c r="C11" s="7" t="s">
        <v>35</v>
      </c>
      <c r="D11" s="7" t="s">
        <v>60</v>
      </c>
      <c r="E11" s="8" t="n">
        <v>4100000</v>
      </c>
      <c r="F11" s="9" t="n">
        <f aca="false">E11/$E$17</f>
        <v>0.0463276836158192</v>
      </c>
      <c r="G11" s="10" t="n">
        <v>45931</v>
      </c>
      <c r="H11" s="10" t="n">
        <v>46174</v>
      </c>
      <c r="I11" s="11" t="n">
        <f aca="false">DATEDIF(G11,H11,"m")</f>
        <v>8</v>
      </c>
      <c r="J11" s="7" t="s">
        <v>42</v>
      </c>
    </row>
    <row r="12" customFormat="false" ht="15" hidden="false" customHeight="false" outlineLevel="0" collapsed="false">
      <c r="A12" s="7" t="s">
        <v>61</v>
      </c>
      <c r="B12" s="7" t="s">
        <v>62</v>
      </c>
      <c r="C12" s="7" t="s">
        <v>63</v>
      </c>
      <c r="D12" s="7" t="s">
        <v>60</v>
      </c>
      <c r="E12" s="8" t="n">
        <v>4600000</v>
      </c>
      <c r="F12" s="9" t="n">
        <f aca="false">E12/$E$17</f>
        <v>0.0519774011299435</v>
      </c>
      <c r="G12" s="10" t="n">
        <v>45992</v>
      </c>
      <c r="H12" s="10" t="n">
        <v>46419</v>
      </c>
      <c r="I12" s="11" t="n">
        <f aca="false">DATEDIF(G12,H12,"m")</f>
        <v>14</v>
      </c>
      <c r="J12" s="7" t="s">
        <v>64</v>
      </c>
    </row>
    <row r="13" customFormat="false" ht="15" hidden="false" customHeight="false" outlineLevel="0" collapsed="false">
      <c r="A13" s="7" t="s">
        <v>65</v>
      </c>
      <c r="B13" s="7" t="s">
        <v>66</v>
      </c>
      <c r="C13" s="7" t="s">
        <v>35</v>
      </c>
      <c r="D13" s="7" t="s">
        <v>41</v>
      </c>
      <c r="E13" s="8" t="n">
        <v>7800000</v>
      </c>
      <c r="F13" s="9" t="n">
        <f aca="false">E13/$E$17</f>
        <v>0.088135593220339</v>
      </c>
      <c r="G13" s="10" t="n">
        <v>46054</v>
      </c>
      <c r="H13" s="10" t="n">
        <v>46478</v>
      </c>
      <c r="I13" s="11" t="n">
        <f aca="false">DATEDIF(G13,H13,"m")</f>
        <v>14</v>
      </c>
      <c r="J13" s="7" t="s">
        <v>67</v>
      </c>
    </row>
    <row r="14" customFormat="false" ht="15" hidden="false" customHeight="false" outlineLevel="0" collapsed="false">
      <c r="A14" s="7" t="s">
        <v>68</v>
      </c>
      <c r="B14" s="7" t="s">
        <v>69</v>
      </c>
      <c r="C14" s="7" t="s">
        <v>70</v>
      </c>
      <c r="D14" s="7" t="s">
        <v>57</v>
      </c>
      <c r="E14" s="8" t="n">
        <v>3700000</v>
      </c>
      <c r="F14" s="9" t="n">
        <f aca="false">E14/$E$17</f>
        <v>0.0418079096045198</v>
      </c>
      <c r="G14" s="10" t="n">
        <v>46113</v>
      </c>
      <c r="H14" s="10" t="n">
        <v>46447</v>
      </c>
      <c r="I14" s="11" t="n">
        <f aca="false">DATEDIF(G14,H14,"m")</f>
        <v>11</v>
      </c>
      <c r="J14" s="7" t="s">
        <v>71</v>
      </c>
    </row>
    <row r="15" customFormat="false" ht="15" hidden="false" customHeight="false" outlineLevel="0" collapsed="false">
      <c r="A15" s="7" t="s">
        <v>72</v>
      </c>
      <c r="B15" s="7" t="s">
        <v>73</v>
      </c>
      <c r="C15" s="7" t="s">
        <v>35</v>
      </c>
      <c r="D15" s="7" t="s">
        <v>50</v>
      </c>
      <c r="E15" s="8" t="n">
        <v>3200000</v>
      </c>
      <c r="F15" s="9" t="n">
        <f aca="false">E15/$E$17</f>
        <v>0.0361581920903955</v>
      </c>
      <c r="G15" s="10" t="n">
        <v>45748</v>
      </c>
      <c r="H15" s="10" t="n">
        <v>46235</v>
      </c>
      <c r="I15" s="11" t="n">
        <f aca="false">DATEDIF(G15,H15,"m")</f>
        <v>16</v>
      </c>
      <c r="J15" s="7" t="s">
        <v>42</v>
      </c>
    </row>
    <row r="16" customFormat="false" ht="15" hidden="false" customHeight="false" outlineLevel="0" collapsed="false">
      <c r="A16" s="7" t="s">
        <v>74</v>
      </c>
      <c r="B16" s="7" t="s">
        <v>75</v>
      </c>
      <c r="C16" s="7" t="s">
        <v>76</v>
      </c>
      <c r="D16" s="7" t="s">
        <v>77</v>
      </c>
      <c r="E16" s="8" t="n">
        <v>5100000</v>
      </c>
      <c r="F16" s="9" t="n">
        <f aca="false">E16/$E$17</f>
        <v>0.0576271186440678</v>
      </c>
      <c r="G16" s="10" t="n">
        <v>45658</v>
      </c>
      <c r="H16" s="10" t="n">
        <v>46722</v>
      </c>
      <c r="I16" s="11" t="n">
        <f aca="false">DATEDIF(G16,H16,"m")</f>
        <v>35</v>
      </c>
      <c r="J16" s="7" t="s">
        <v>78</v>
      </c>
    </row>
    <row r="17" customFormat="false" ht="15" hidden="false" customHeight="false" outlineLevel="0" collapsed="false">
      <c r="A17" s="11"/>
      <c r="B17" s="12" t="s">
        <v>79</v>
      </c>
      <c r="C17" s="11"/>
      <c r="D17" s="11"/>
      <c r="E17" s="13" t="n">
        <f aca="false">SUM(E5:E16)</f>
        <v>88500000</v>
      </c>
      <c r="F17" s="11"/>
      <c r="G17" s="11"/>
      <c r="H17" s="11"/>
      <c r="I17" s="11"/>
      <c r="J17" s="11"/>
    </row>
    <row r="18" customFormat="false" ht="15" hidden="false" customHeight="false" outlineLevel="0" collapsed="false">
      <c r="B18" s="14" t="s">
        <v>80</v>
      </c>
      <c r="E18" s="15" t="n">
        <v>7500000</v>
      </c>
    </row>
    <row r="19" customFormat="false" ht="15" hidden="false" customHeight="false" outlineLevel="0" collapsed="false">
      <c r="B19" s="16" t="s">
        <v>81</v>
      </c>
      <c r="E19" s="17" t="n">
        <f aca="false">E17+E18</f>
        <v>96000000</v>
      </c>
    </row>
    <row r="21" customFormat="false" ht="15" hidden="false" customHeight="false" outlineLevel="0" collapsed="false">
      <c r="A21" s="18" t="s">
        <v>82</v>
      </c>
      <c r="B21" s="19" t="str">
        <f aca="false">IF(E17=88500000,"OK - Project BAC total = $88.5M","ERROR - project BAC total is not $88.5M")</f>
        <v>OK - Project BAC total = $88.5M</v>
      </c>
    </row>
    <row r="22" customFormat="false" ht="15" hidden="false" customHeight="false" outlineLevel="0" collapsed="false">
      <c r="B22" s="19" t="str">
        <f aca="false">IF(E19=96000000,"OK - Total program authorization = $96.0M","ERROR - total authorization is not $96.0M")</f>
        <v>OK - Total program authorization = $96.0M</v>
      </c>
    </row>
    <row r="24" customFormat="false" ht="30" hidden="false" customHeight="true" outlineLevel="0" collapsed="false">
      <c r="A24" s="18" t="s">
        <v>83</v>
      </c>
      <c r="B24" s="5" t="s">
        <v>84</v>
      </c>
      <c r="C24" s="5"/>
      <c r="D24" s="5"/>
      <c r="E24" s="5"/>
      <c r="F24" s="5"/>
      <c r="G24" s="5"/>
      <c r="H24" s="5"/>
      <c r="I24" s="5"/>
      <c r="J24" s="5"/>
    </row>
  </sheetData>
  <mergeCells count="3">
    <mergeCell ref="A1:J1"/>
    <mergeCell ref="A2:J2"/>
    <mergeCell ref="B24:J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32"/>
    <col collapsed="false" customWidth="true" hidden="false" outlineLevel="0" max="9" min="9" style="0" width="20"/>
    <col collapsed="false" customWidth="true" hidden="false" outlineLevel="0" max="10" min="10" style="0" width="26"/>
    <col collapsed="false" customWidth="true" hidden="false" outlineLevel="0" max="11" min="11" style="0" width="55"/>
  </cols>
  <sheetData>
    <row r="1" customFormat="false" ht="17.35" hidden="false" customHeight="false" outlineLevel="0" collapsed="false">
      <c r="A1" s="4" t="s">
        <v>85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customFormat="false" ht="15" hidden="false" customHeight="false" outlineLevel="0" collapsed="false">
      <c r="A2" s="5" t="s">
        <v>86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customFormat="false" ht="39.55" hidden="false" customHeight="false" outlineLevel="0" collapsed="false">
      <c r="A4" s="6" t="s">
        <v>87</v>
      </c>
      <c r="B4" s="6" t="s">
        <v>88</v>
      </c>
      <c r="C4" s="6" t="s">
        <v>89</v>
      </c>
      <c r="D4" s="6" t="s">
        <v>90</v>
      </c>
      <c r="E4" s="6" t="s">
        <v>91</v>
      </c>
      <c r="F4" s="6" t="s">
        <v>92</v>
      </c>
      <c r="G4" s="6" t="s">
        <v>93</v>
      </c>
      <c r="H4" s="6" t="s">
        <v>94</v>
      </c>
      <c r="I4" s="6" t="s">
        <v>95</v>
      </c>
      <c r="J4" s="6" t="s">
        <v>96</v>
      </c>
      <c r="K4" s="6" t="s">
        <v>97</v>
      </c>
    </row>
    <row r="5" customFormat="false" ht="35.05" hidden="false" customHeight="false" outlineLevel="0" collapsed="false">
      <c r="A5" s="20" t="s">
        <v>98</v>
      </c>
      <c r="B5" s="20" t="n">
        <v>3</v>
      </c>
      <c r="C5" s="20" t="s">
        <v>33</v>
      </c>
      <c r="D5" s="20" t="s">
        <v>34</v>
      </c>
      <c r="E5" s="20" t="s">
        <v>99</v>
      </c>
      <c r="F5" s="20" t="s">
        <v>100</v>
      </c>
      <c r="G5" s="20"/>
      <c r="H5" s="20"/>
      <c r="I5" s="20" t="s">
        <v>100</v>
      </c>
      <c r="J5" s="20" t="s">
        <v>101</v>
      </c>
      <c r="K5" s="20" t="s">
        <v>102</v>
      </c>
    </row>
    <row r="6" customFormat="false" ht="23.85" hidden="false" customHeight="false" outlineLevel="0" collapsed="false">
      <c r="A6" s="20" t="s">
        <v>103</v>
      </c>
      <c r="B6" s="20" t="n">
        <v>4</v>
      </c>
      <c r="C6" s="20" t="s">
        <v>33</v>
      </c>
      <c r="D6" s="20" t="s">
        <v>34</v>
      </c>
      <c r="E6" s="20" t="s">
        <v>99</v>
      </c>
      <c r="F6" s="20" t="s">
        <v>100</v>
      </c>
      <c r="G6" s="20" t="s">
        <v>104</v>
      </c>
      <c r="H6" s="20" t="s">
        <v>105</v>
      </c>
      <c r="I6" s="20" t="s">
        <v>100</v>
      </c>
      <c r="J6" s="20" t="s">
        <v>101</v>
      </c>
      <c r="K6" s="20" t="s">
        <v>106</v>
      </c>
    </row>
    <row r="7" customFormat="false" ht="23.85" hidden="false" customHeight="false" outlineLevel="0" collapsed="false">
      <c r="A7" s="20" t="s">
        <v>107</v>
      </c>
      <c r="B7" s="20" t="n">
        <v>4</v>
      </c>
      <c r="C7" s="20" t="s">
        <v>33</v>
      </c>
      <c r="D7" s="20" t="s">
        <v>34</v>
      </c>
      <c r="E7" s="20" t="s">
        <v>99</v>
      </c>
      <c r="F7" s="20" t="s">
        <v>100</v>
      </c>
      <c r="G7" s="20" t="s">
        <v>108</v>
      </c>
      <c r="H7" s="20" t="s">
        <v>109</v>
      </c>
      <c r="I7" s="20" t="s">
        <v>100</v>
      </c>
      <c r="J7" s="20" t="s">
        <v>101</v>
      </c>
      <c r="K7" s="20" t="s">
        <v>110</v>
      </c>
    </row>
    <row r="8" customFormat="false" ht="35.05" hidden="false" customHeight="false" outlineLevel="0" collapsed="false">
      <c r="A8" s="20" t="s">
        <v>111</v>
      </c>
      <c r="B8" s="20" t="n">
        <v>3</v>
      </c>
      <c r="C8" s="20" t="s">
        <v>33</v>
      </c>
      <c r="D8" s="20" t="s">
        <v>34</v>
      </c>
      <c r="E8" s="20" t="s">
        <v>112</v>
      </c>
      <c r="F8" s="20" t="s">
        <v>113</v>
      </c>
      <c r="G8" s="20"/>
      <c r="H8" s="20"/>
      <c r="I8" s="20" t="s">
        <v>113</v>
      </c>
      <c r="J8" s="20" t="s">
        <v>114</v>
      </c>
      <c r="K8" s="20" t="s">
        <v>115</v>
      </c>
    </row>
    <row r="9" customFormat="false" ht="23.85" hidden="false" customHeight="false" outlineLevel="0" collapsed="false">
      <c r="A9" s="20" t="s">
        <v>116</v>
      </c>
      <c r="B9" s="20" t="n">
        <v>4</v>
      </c>
      <c r="C9" s="20" t="s">
        <v>33</v>
      </c>
      <c r="D9" s="20" t="s">
        <v>34</v>
      </c>
      <c r="E9" s="20" t="s">
        <v>112</v>
      </c>
      <c r="F9" s="20" t="s">
        <v>113</v>
      </c>
      <c r="G9" s="20" t="s">
        <v>117</v>
      </c>
      <c r="H9" s="20" t="s">
        <v>118</v>
      </c>
      <c r="I9" s="20" t="s">
        <v>113</v>
      </c>
      <c r="J9" s="20" t="s">
        <v>114</v>
      </c>
      <c r="K9" s="20" t="s">
        <v>119</v>
      </c>
    </row>
    <row r="10" customFormat="false" ht="23.85" hidden="false" customHeight="false" outlineLevel="0" collapsed="false">
      <c r="A10" s="20" t="s">
        <v>120</v>
      </c>
      <c r="B10" s="20" t="n">
        <v>4</v>
      </c>
      <c r="C10" s="20" t="s">
        <v>33</v>
      </c>
      <c r="D10" s="20" t="s">
        <v>34</v>
      </c>
      <c r="E10" s="20" t="s">
        <v>112</v>
      </c>
      <c r="F10" s="20" t="s">
        <v>113</v>
      </c>
      <c r="G10" s="20" t="s">
        <v>121</v>
      </c>
      <c r="H10" s="20" t="s">
        <v>122</v>
      </c>
      <c r="I10" s="20" t="s">
        <v>113</v>
      </c>
      <c r="J10" s="20" t="s">
        <v>114</v>
      </c>
      <c r="K10" s="20" t="s">
        <v>123</v>
      </c>
    </row>
    <row r="11" customFormat="false" ht="35.05" hidden="false" customHeight="false" outlineLevel="0" collapsed="false">
      <c r="A11" s="20" t="s">
        <v>124</v>
      </c>
      <c r="B11" s="20" t="n">
        <v>3</v>
      </c>
      <c r="C11" s="20" t="s">
        <v>33</v>
      </c>
      <c r="D11" s="20" t="s">
        <v>34</v>
      </c>
      <c r="E11" s="20" t="s">
        <v>125</v>
      </c>
      <c r="F11" s="20" t="s">
        <v>126</v>
      </c>
      <c r="G11" s="20"/>
      <c r="H11" s="20"/>
      <c r="I11" s="20" t="s">
        <v>126</v>
      </c>
      <c r="J11" s="20" t="s">
        <v>127</v>
      </c>
      <c r="K11" s="20" t="s">
        <v>128</v>
      </c>
    </row>
    <row r="12" customFormat="false" ht="23.85" hidden="false" customHeight="false" outlineLevel="0" collapsed="false">
      <c r="A12" s="20" t="s">
        <v>129</v>
      </c>
      <c r="B12" s="20" t="n">
        <v>4</v>
      </c>
      <c r="C12" s="20" t="s">
        <v>33</v>
      </c>
      <c r="D12" s="20" t="s">
        <v>34</v>
      </c>
      <c r="E12" s="20" t="s">
        <v>125</v>
      </c>
      <c r="F12" s="20" t="s">
        <v>126</v>
      </c>
      <c r="G12" s="20" t="s">
        <v>130</v>
      </c>
      <c r="H12" s="20" t="s">
        <v>131</v>
      </c>
      <c r="I12" s="20" t="s">
        <v>126</v>
      </c>
      <c r="J12" s="20" t="s">
        <v>127</v>
      </c>
      <c r="K12" s="20" t="s">
        <v>132</v>
      </c>
    </row>
    <row r="13" customFormat="false" ht="23.85" hidden="false" customHeight="false" outlineLevel="0" collapsed="false">
      <c r="A13" s="20" t="s">
        <v>133</v>
      </c>
      <c r="B13" s="20" t="n">
        <v>4</v>
      </c>
      <c r="C13" s="20" t="s">
        <v>33</v>
      </c>
      <c r="D13" s="20" t="s">
        <v>34</v>
      </c>
      <c r="E13" s="20" t="s">
        <v>125</v>
      </c>
      <c r="F13" s="20" t="s">
        <v>126</v>
      </c>
      <c r="G13" s="20" t="s">
        <v>134</v>
      </c>
      <c r="H13" s="20" t="s">
        <v>135</v>
      </c>
      <c r="I13" s="20" t="s">
        <v>126</v>
      </c>
      <c r="J13" s="20" t="s">
        <v>127</v>
      </c>
      <c r="K13" s="20" t="s">
        <v>136</v>
      </c>
    </row>
    <row r="14" customFormat="false" ht="35.05" hidden="false" customHeight="false" outlineLevel="0" collapsed="false">
      <c r="A14" s="20" t="s">
        <v>137</v>
      </c>
      <c r="B14" s="20" t="n">
        <v>3</v>
      </c>
      <c r="C14" s="20" t="s">
        <v>33</v>
      </c>
      <c r="D14" s="20" t="s">
        <v>34</v>
      </c>
      <c r="E14" s="20" t="s">
        <v>138</v>
      </c>
      <c r="F14" s="20" t="s">
        <v>139</v>
      </c>
      <c r="G14" s="20"/>
      <c r="H14" s="20"/>
      <c r="I14" s="20" t="s">
        <v>139</v>
      </c>
      <c r="J14" s="20" t="s">
        <v>140</v>
      </c>
      <c r="K14" s="20" t="s">
        <v>141</v>
      </c>
    </row>
    <row r="15" customFormat="false" ht="23.85" hidden="false" customHeight="false" outlineLevel="0" collapsed="false">
      <c r="A15" s="20" t="s">
        <v>142</v>
      </c>
      <c r="B15" s="20" t="n">
        <v>4</v>
      </c>
      <c r="C15" s="20" t="s">
        <v>33</v>
      </c>
      <c r="D15" s="20" t="s">
        <v>34</v>
      </c>
      <c r="E15" s="20" t="s">
        <v>138</v>
      </c>
      <c r="F15" s="20" t="s">
        <v>139</v>
      </c>
      <c r="G15" s="20" t="s">
        <v>143</v>
      </c>
      <c r="H15" s="20" t="s">
        <v>144</v>
      </c>
      <c r="I15" s="20" t="s">
        <v>139</v>
      </c>
      <c r="J15" s="20" t="s">
        <v>140</v>
      </c>
      <c r="K15" s="20" t="s">
        <v>145</v>
      </c>
    </row>
    <row r="16" customFormat="false" ht="23.85" hidden="false" customHeight="false" outlineLevel="0" collapsed="false">
      <c r="A16" s="20" t="s">
        <v>146</v>
      </c>
      <c r="B16" s="20" t="n">
        <v>4</v>
      </c>
      <c r="C16" s="20" t="s">
        <v>33</v>
      </c>
      <c r="D16" s="20" t="s">
        <v>34</v>
      </c>
      <c r="E16" s="20" t="s">
        <v>138</v>
      </c>
      <c r="F16" s="20" t="s">
        <v>139</v>
      </c>
      <c r="G16" s="20" t="s">
        <v>147</v>
      </c>
      <c r="H16" s="20" t="s">
        <v>148</v>
      </c>
      <c r="I16" s="20" t="s">
        <v>139</v>
      </c>
      <c r="J16" s="20" t="s">
        <v>140</v>
      </c>
      <c r="K16" s="20" t="s">
        <v>149</v>
      </c>
    </row>
    <row r="17" customFormat="false" ht="23.85" hidden="false" customHeight="false" outlineLevel="0" collapsed="false">
      <c r="A17" s="20" t="s">
        <v>150</v>
      </c>
      <c r="B17" s="20" t="n">
        <v>4</v>
      </c>
      <c r="C17" s="20" t="s">
        <v>33</v>
      </c>
      <c r="D17" s="20" t="s">
        <v>34</v>
      </c>
      <c r="E17" s="20" t="s">
        <v>138</v>
      </c>
      <c r="F17" s="20" t="s">
        <v>139</v>
      </c>
      <c r="G17" s="20" t="s">
        <v>151</v>
      </c>
      <c r="H17" s="20" t="s">
        <v>152</v>
      </c>
      <c r="I17" s="20" t="s">
        <v>139</v>
      </c>
      <c r="J17" s="20" t="s">
        <v>140</v>
      </c>
      <c r="K17" s="20" t="s">
        <v>153</v>
      </c>
    </row>
    <row r="18" customFormat="false" ht="35.05" hidden="false" customHeight="false" outlineLevel="0" collapsed="false">
      <c r="A18" s="20" t="s">
        <v>154</v>
      </c>
      <c r="B18" s="20" t="n">
        <v>3</v>
      </c>
      <c r="C18" s="20" t="s">
        <v>33</v>
      </c>
      <c r="D18" s="20" t="s">
        <v>34</v>
      </c>
      <c r="E18" s="20" t="s">
        <v>155</v>
      </c>
      <c r="F18" s="20" t="s">
        <v>156</v>
      </c>
      <c r="G18" s="20"/>
      <c r="H18" s="20"/>
      <c r="I18" s="20" t="s">
        <v>156</v>
      </c>
      <c r="J18" s="20" t="s">
        <v>157</v>
      </c>
      <c r="K18" s="20" t="s">
        <v>158</v>
      </c>
    </row>
    <row r="19" customFormat="false" ht="23.85" hidden="false" customHeight="false" outlineLevel="0" collapsed="false">
      <c r="A19" s="20" t="s">
        <v>159</v>
      </c>
      <c r="B19" s="20" t="n">
        <v>4</v>
      </c>
      <c r="C19" s="20" t="s">
        <v>33</v>
      </c>
      <c r="D19" s="20" t="s">
        <v>34</v>
      </c>
      <c r="E19" s="20" t="s">
        <v>155</v>
      </c>
      <c r="F19" s="20" t="s">
        <v>156</v>
      </c>
      <c r="G19" s="20" t="s">
        <v>160</v>
      </c>
      <c r="H19" s="20" t="s">
        <v>161</v>
      </c>
      <c r="I19" s="20" t="s">
        <v>156</v>
      </c>
      <c r="J19" s="20" t="s">
        <v>157</v>
      </c>
      <c r="K19" s="20" t="s">
        <v>162</v>
      </c>
    </row>
    <row r="20" customFormat="false" ht="35.05" hidden="false" customHeight="false" outlineLevel="0" collapsed="false">
      <c r="A20" s="20" t="s">
        <v>163</v>
      </c>
      <c r="B20" s="20" t="n">
        <v>3</v>
      </c>
      <c r="C20" s="20" t="s">
        <v>33</v>
      </c>
      <c r="D20" s="20" t="s">
        <v>34</v>
      </c>
      <c r="E20" s="20" t="s">
        <v>164</v>
      </c>
      <c r="F20" s="20" t="s">
        <v>165</v>
      </c>
      <c r="G20" s="20"/>
      <c r="H20" s="20"/>
      <c r="I20" s="20" t="s">
        <v>165</v>
      </c>
      <c r="J20" s="20" t="s">
        <v>166</v>
      </c>
      <c r="K20" s="20" t="s">
        <v>167</v>
      </c>
    </row>
    <row r="21" customFormat="false" ht="23.85" hidden="false" customHeight="false" outlineLevel="0" collapsed="false">
      <c r="A21" s="20" t="s">
        <v>168</v>
      </c>
      <c r="B21" s="20" t="n">
        <v>4</v>
      </c>
      <c r="C21" s="20" t="s">
        <v>33</v>
      </c>
      <c r="D21" s="20" t="s">
        <v>34</v>
      </c>
      <c r="E21" s="20" t="s">
        <v>164</v>
      </c>
      <c r="F21" s="20" t="s">
        <v>165</v>
      </c>
      <c r="G21" s="20" t="s">
        <v>169</v>
      </c>
      <c r="H21" s="20" t="s">
        <v>170</v>
      </c>
      <c r="I21" s="20" t="s">
        <v>165</v>
      </c>
      <c r="J21" s="20" t="s">
        <v>166</v>
      </c>
      <c r="K21" s="20" t="s">
        <v>171</v>
      </c>
    </row>
    <row r="22" customFormat="false" ht="23.85" hidden="false" customHeight="false" outlineLevel="0" collapsed="false">
      <c r="A22" s="20" t="s">
        <v>172</v>
      </c>
      <c r="B22" s="20" t="n">
        <v>4</v>
      </c>
      <c r="C22" s="20" t="s">
        <v>33</v>
      </c>
      <c r="D22" s="20" t="s">
        <v>34</v>
      </c>
      <c r="E22" s="20" t="s">
        <v>164</v>
      </c>
      <c r="F22" s="20" t="s">
        <v>165</v>
      </c>
      <c r="G22" s="20" t="s">
        <v>173</v>
      </c>
      <c r="H22" s="20" t="s">
        <v>174</v>
      </c>
      <c r="I22" s="20" t="s">
        <v>165</v>
      </c>
      <c r="J22" s="20" t="s">
        <v>166</v>
      </c>
      <c r="K22" s="20" t="s">
        <v>175</v>
      </c>
    </row>
    <row r="23" customFormat="false" ht="35.05" hidden="false" customHeight="false" outlineLevel="0" collapsed="false">
      <c r="A23" s="20" t="s">
        <v>176</v>
      </c>
      <c r="B23" s="20" t="n">
        <v>3</v>
      </c>
      <c r="C23" s="20" t="s">
        <v>38</v>
      </c>
      <c r="D23" s="20" t="s">
        <v>39</v>
      </c>
      <c r="E23" s="20" t="s">
        <v>177</v>
      </c>
      <c r="F23" s="20" t="s">
        <v>100</v>
      </c>
      <c r="G23" s="20"/>
      <c r="H23" s="20"/>
      <c r="I23" s="20" t="s">
        <v>100</v>
      </c>
      <c r="J23" s="20" t="s">
        <v>101</v>
      </c>
      <c r="K23" s="20" t="s">
        <v>178</v>
      </c>
    </row>
    <row r="24" customFormat="false" ht="23.85" hidden="false" customHeight="false" outlineLevel="0" collapsed="false">
      <c r="A24" s="20" t="s">
        <v>179</v>
      </c>
      <c r="B24" s="20" t="n">
        <v>4</v>
      </c>
      <c r="C24" s="20" t="s">
        <v>38</v>
      </c>
      <c r="D24" s="20" t="s">
        <v>39</v>
      </c>
      <c r="E24" s="20" t="s">
        <v>177</v>
      </c>
      <c r="F24" s="20" t="s">
        <v>100</v>
      </c>
      <c r="G24" s="20" t="s">
        <v>180</v>
      </c>
      <c r="H24" s="20" t="s">
        <v>105</v>
      </c>
      <c r="I24" s="20" t="s">
        <v>100</v>
      </c>
      <c r="J24" s="20" t="s">
        <v>101</v>
      </c>
      <c r="K24" s="20" t="s">
        <v>181</v>
      </c>
    </row>
    <row r="25" customFormat="false" ht="23.85" hidden="false" customHeight="false" outlineLevel="0" collapsed="false">
      <c r="A25" s="20" t="s">
        <v>182</v>
      </c>
      <c r="B25" s="20" t="n">
        <v>4</v>
      </c>
      <c r="C25" s="20" t="s">
        <v>38</v>
      </c>
      <c r="D25" s="20" t="s">
        <v>39</v>
      </c>
      <c r="E25" s="20" t="s">
        <v>177</v>
      </c>
      <c r="F25" s="20" t="s">
        <v>100</v>
      </c>
      <c r="G25" s="20" t="s">
        <v>183</v>
      </c>
      <c r="H25" s="20" t="s">
        <v>109</v>
      </c>
      <c r="I25" s="20" t="s">
        <v>100</v>
      </c>
      <c r="J25" s="20" t="s">
        <v>101</v>
      </c>
      <c r="K25" s="20" t="s">
        <v>184</v>
      </c>
    </row>
    <row r="26" customFormat="false" ht="35.05" hidden="false" customHeight="false" outlineLevel="0" collapsed="false">
      <c r="A26" s="20" t="s">
        <v>185</v>
      </c>
      <c r="B26" s="20" t="n">
        <v>3</v>
      </c>
      <c r="C26" s="20" t="s">
        <v>38</v>
      </c>
      <c r="D26" s="20" t="s">
        <v>39</v>
      </c>
      <c r="E26" s="20" t="s">
        <v>186</v>
      </c>
      <c r="F26" s="20" t="s">
        <v>113</v>
      </c>
      <c r="G26" s="20"/>
      <c r="H26" s="20"/>
      <c r="I26" s="20" t="s">
        <v>113</v>
      </c>
      <c r="J26" s="20" t="s">
        <v>114</v>
      </c>
      <c r="K26" s="20" t="s">
        <v>187</v>
      </c>
    </row>
    <row r="27" customFormat="false" ht="23.85" hidden="false" customHeight="false" outlineLevel="0" collapsed="false">
      <c r="A27" s="20" t="s">
        <v>188</v>
      </c>
      <c r="B27" s="20" t="n">
        <v>4</v>
      </c>
      <c r="C27" s="20" t="s">
        <v>38</v>
      </c>
      <c r="D27" s="20" t="s">
        <v>39</v>
      </c>
      <c r="E27" s="20" t="s">
        <v>186</v>
      </c>
      <c r="F27" s="20" t="s">
        <v>113</v>
      </c>
      <c r="G27" s="20" t="s">
        <v>189</v>
      </c>
      <c r="H27" s="20" t="s">
        <v>118</v>
      </c>
      <c r="I27" s="20" t="s">
        <v>113</v>
      </c>
      <c r="J27" s="20" t="s">
        <v>114</v>
      </c>
      <c r="K27" s="20" t="s">
        <v>190</v>
      </c>
    </row>
    <row r="28" customFormat="false" ht="23.85" hidden="false" customHeight="false" outlineLevel="0" collapsed="false">
      <c r="A28" s="20" t="s">
        <v>191</v>
      </c>
      <c r="B28" s="20" t="n">
        <v>4</v>
      </c>
      <c r="C28" s="20" t="s">
        <v>38</v>
      </c>
      <c r="D28" s="20" t="s">
        <v>39</v>
      </c>
      <c r="E28" s="20" t="s">
        <v>186</v>
      </c>
      <c r="F28" s="20" t="s">
        <v>113</v>
      </c>
      <c r="G28" s="20" t="s">
        <v>192</v>
      </c>
      <c r="H28" s="20" t="s">
        <v>122</v>
      </c>
      <c r="I28" s="20" t="s">
        <v>113</v>
      </c>
      <c r="J28" s="20" t="s">
        <v>114</v>
      </c>
      <c r="K28" s="20" t="s">
        <v>193</v>
      </c>
    </row>
    <row r="29" customFormat="false" ht="23.85" hidden="false" customHeight="false" outlineLevel="0" collapsed="false">
      <c r="A29" s="20" t="s">
        <v>194</v>
      </c>
      <c r="B29" s="20" t="n">
        <v>3</v>
      </c>
      <c r="C29" s="20" t="s">
        <v>38</v>
      </c>
      <c r="D29" s="20" t="s">
        <v>39</v>
      </c>
      <c r="E29" s="20" t="s">
        <v>195</v>
      </c>
      <c r="F29" s="20" t="s">
        <v>126</v>
      </c>
      <c r="G29" s="20"/>
      <c r="H29" s="20"/>
      <c r="I29" s="20" t="s">
        <v>126</v>
      </c>
      <c r="J29" s="20" t="s">
        <v>127</v>
      </c>
      <c r="K29" s="20" t="s">
        <v>196</v>
      </c>
    </row>
    <row r="30" customFormat="false" ht="23.85" hidden="false" customHeight="false" outlineLevel="0" collapsed="false">
      <c r="A30" s="20" t="s">
        <v>197</v>
      </c>
      <c r="B30" s="20" t="n">
        <v>4</v>
      </c>
      <c r="C30" s="20" t="s">
        <v>38</v>
      </c>
      <c r="D30" s="20" t="s">
        <v>39</v>
      </c>
      <c r="E30" s="20" t="s">
        <v>195</v>
      </c>
      <c r="F30" s="20" t="s">
        <v>126</v>
      </c>
      <c r="G30" s="20" t="s">
        <v>198</v>
      </c>
      <c r="H30" s="20" t="s">
        <v>131</v>
      </c>
      <c r="I30" s="20" t="s">
        <v>126</v>
      </c>
      <c r="J30" s="20" t="s">
        <v>127</v>
      </c>
      <c r="K30" s="20" t="s">
        <v>199</v>
      </c>
    </row>
    <row r="31" customFormat="false" ht="23.85" hidden="false" customHeight="false" outlineLevel="0" collapsed="false">
      <c r="A31" s="20" t="s">
        <v>200</v>
      </c>
      <c r="B31" s="20" t="n">
        <v>4</v>
      </c>
      <c r="C31" s="20" t="s">
        <v>38</v>
      </c>
      <c r="D31" s="20" t="s">
        <v>39</v>
      </c>
      <c r="E31" s="20" t="s">
        <v>195</v>
      </c>
      <c r="F31" s="20" t="s">
        <v>126</v>
      </c>
      <c r="G31" s="20" t="s">
        <v>201</v>
      </c>
      <c r="H31" s="20" t="s">
        <v>135</v>
      </c>
      <c r="I31" s="20" t="s">
        <v>126</v>
      </c>
      <c r="J31" s="20" t="s">
        <v>127</v>
      </c>
      <c r="K31" s="20" t="s">
        <v>202</v>
      </c>
    </row>
    <row r="32" customFormat="false" ht="23.85" hidden="false" customHeight="false" outlineLevel="0" collapsed="false">
      <c r="A32" s="20" t="s">
        <v>203</v>
      </c>
      <c r="B32" s="20" t="n">
        <v>3</v>
      </c>
      <c r="C32" s="20" t="s">
        <v>38</v>
      </c>
      <c r="D32" s="20" t="s">
        <v>39</v>
      </c>
      <c r="E32" s="20" t="s">
        <v>204</v>
      </c>
      <c r="F32" s="20" t="s">
        <v>139</v>
      </c>
      <c r="G32" s="20"/>
      <c r="H32" s="20"/>
      <c r="I32" s="20" t="s">
        <v>139</v>
      </c>
      <c r="J32" s="20" t="s">
        <v>140</v>
      </c>
      <c r="K32" s="20" t="s">
        <v>205</v>
      </c>
    </row>
    <row r="33" customFormat="false" ht="23.85" hidden="false" customHeight="false" outlineLevel="0" collapsed="false">
      <c r="A33" s="20" t="s">
        <v>206</v>
      </c>
      <c r="B33" s="20" t="n">
        <v>4</v>
      </c>
      <c r="C33" s="20" t="s">
        <v>38</v>
      </c>
      <c r="D33" s="20" t="s">
        <v>39</v>
      </c>
      <c r="E33" s="20" t="s">
        <v>204</v>
      </c>
      <c r="F33" s="20" t="s">
        <v>139</v>
      </c>
      <c r="G33" s="20" t="s">
        <v>207</v>
      </c>
      <c r="H33" s="20" t="s">
        <v>208</v>
      </c>
      <c r="I33" s="20" t="s">
        <v>139</v>
      </c>
      <c r="J33" s="20" t="s">
        <v>140</v>
      </c>
      <c r="K33" s="20" t="s">
        <v>209</v>
      </c>
    </row>
    <row r="34" customFormat="false" ht="23.85" hidden="false" customHeight="false" outlineLevel="0" collapsed="false">
      <c r="A34" s="20" t="s">
        <v>210</v>
      </c>
      <c r="B34" s="20" t="n">
        <v>4</v>
      </c>
      <c r="C34" s="20" t="s">
        <v>38</v>
      </c>
      <c r="D34" s="20" t="s">
        <v>39</v>
      </c>
      <c r="E34" s="20" t="s">
        <v>204</v>
      </c>
      <c r="F34" s="20" t="s">
        <v>139</v>
      </c>
      <c r="G34" s="20" t="s">
        <v>211</v>
      </c>
      <c r="H34" s="20" t="s">
        <v>212</v>
      </c>
      <c r="I34" s="20" t="s">
        <v>139</v>
      </c>
      <c r="J34" s="20" t="s">
        <v>140</v>
      </c>
      <c r="K34" s="20" t="s">
        <v>213</v>
      </c>
    </row>
    <row r="35" customFormat="false" ht="23.85" hidden="false" customHeight="false" outlineLevel="0" collapsed="false">
      <c r="A35" s="20" t="s">
        <v>214</v>
      </c>
      <c r="B35" s="20" t="n">
        <v>4</v>
      </c>
      <c r="C35" s="20" t="s">
        <v>38</v>
      </c>
      <c r="D35" s="20" t="s">
        <v>39</v>
      </c>
      <c r="E35" s="20" t="s">
        <v>204</v>
      </c>
      <c r="F35" s="20" t="s">
        <v>139</v>
      </c>
      <c r="G35" s="20" t="s">
        <v>215</v>
      </c>
      <c r="H35" s="20" t="s">
        <v>216</v>
      </c>
      <c r="I35" s="20" t="s">
        <v>139</v>
      </c>
      <c r="J35" s="20" t="s">
        <v>140</v>
      </c>
      <c r="K35" s="20" t="s">
        <v>217</v>
      </c>
    </row>
    <row r="36" customFormat="false" ht="35.05" hidden="false" customHeight="false" outlineLevel="0" collapsed="false">
      <c r="A36" s="20" t="s">
        <v>218</v>
      </c>
      <c r="B36" s="20" t="n">
        <v>3</v>
      </c>
      <c r="C36" s="20" t="s">
        <v>38</v>
      </c>
      <c r="D36" s="20" t="s">
        <v>39</v>
      </c>
      <c r="E36" s="20" t="s">
        <v>219</v>
      </c>
      <c r="F36" s="20" t="s">
        <v>156</v>
      </c>
      <c r="G36" s="20"/>
      <c r="H36" s="20"/>
      <c r="I36" s="20" t="s">
        <v>156</v>
      </c>
      <c r="J36" s="20" t="s">
        <v>157</v>
      </c>
      <c r="K36" s="20" t="s">
        <v>220</v>
      </c>
    </row>
    <row r="37" customFormat="false" ht="23.85" hidden="false" customHeight="false" outlineLevel="0" collapsed="false">
      <c r="A37" s="20" t="s">
        <v>221</v>
      </c>
      <c r="B37" s="20" t="n">
        <v>4</v>
      </c>
      <c r="C37" s="20" t="s">
        <v>38</v>
      </c>
      <c r="D37" s="20" t="s">
        <v>39</v>
      </c>
      <c r="E37" s="20" t="s">
        <v>219</v>
      </c>
      <c r="F37" s="20" t="s">
        <v>156</v>
      </c>
      <c r="G37" s="20" t="s">
        <v>222</v>
      </c>
      <c r="H37" s="20" t="s">
        <v>161</v>
      </c>
      <c r="I37" s="20" t="s">
        <v>156</v>
      </c>
      <c r="J37" s="20" t="s">
        <v>157</v>
      </c>
      <c r="K37" s="20" t="s">
        <v>223</v>
      </c>
    </row>
    <row r="38" customFormat="false" ht="35.05" hidden="false" customHeight="false" outlineLevel="0" collapsed="false">
      <c r="A38" s="20" t="s">
        <v>224</v>
      </c>
      <c r="B38" s="20" t="n">
        <v>3</v>
      </c>
      <c r="C38" s="20" t="s">
        <v>38</v>
      </c>
      <c r="D38" s="20" t="s">
        <v>39</v>
      </c>
      <c r="E38" s="20" t="s">
        <v>225</v>
      </c>
      <c r="F38" s="20" t="s">
        <v>165</v>
      </c>
      <c r="G38" s="20"/>
      <c r="H38" s="20"/>
      <c r="I38" s="20" t="s">
        <v>165</v>
      </c>
      <c r="J38" s="20" t="s">
        <v>166</v>
      </c>
      <c r="K38" s="20" t="s">
        <v>226</v>
      </c>
    </row>
    <row r="39" customFormat="false" ht="23.85" hidden="false" customHeight="false" outlineLevel="0" collapsed="false">
      <c r="A39" s="20" t="s">
        <v>227</v>
      </c>
      <c r="B39" s="20" t="n">
        <v>4</v>
      </c>
      <c r="C39" s="20" t="s">
        <v>38</v>
      </c>
      <c r="D39" s="20" t="s">
        <v>39</v>
      </c>
      <c r="E39" s="20" t="s">
        <v>225</v>
      </c>
      <c r="F39" s="20" t="s">
        <v>165</v>
      </c>
      <c r="G39" s="20" t="s">
        <v>228</v>
      </c>
      <c r="H39" s="20" t="s">
        <v>170</v>
      </c>
      <c r="I39" s="20" t="s">
        <v>165</v>
      </c>
      <c r="J39" s="20" t="s">
        <v>166</v>
      </c>
      <c r="K39" s="20" t="s">
        <v>229</v>
      </c>
    </row>
    <row r="40" customFormat="false" ht="23.85" hidden="false" customHeight="false" outlineLevel="0" collapsed="false">
      <c r="A40" s="20" t="s">
        <v>230</v>
      </c>
      <c r="B40" s="20" t="n">
        <v>4</v>
      </c>
      <c r="C40" s="20" t="s">
        <v>38</v>
      </c>
      <c r="D40" s="20" t="s">
        <v>39</v>
      </c>
      <c r="E40" s="20" t="s">
        <v>225</v>
      </c>
      <c r="F40" s="20" t="s">
        <v>165</v>
      </c>
      <c r="G40" s="20" t="s">
        <v>231</v>
      </c>
      <c r="H40" s="20" t="s">
        <v>174</v>
      </c>
      <c r="I40" s="20" t="s">
        <v>165</v>
      </c>
      <c r="J40" s="20" t="s">
        <v>166</v>
      </c>
      <c r="K40" s="20" t="s">
        <v>232</v>
      </c>
    </row>
    <row r="41" customFormat="false" ht="35.05" hidden="false" customHeight="false" outlineLevel="0" collapsed="false">
      <c r="A41" s="20" t="s">
        <v>233</v>
      </c>
      <c r="B41" s="20" t="n">
        <v>3</v>
      </c>
      <c r="C41" s="20" t="s">
        <v>43</v>
      </c>
      <c r="D41" s="20" t="s">
        <v>44</v>
      </c>
      <c r="E41" s="20" t="s">
        <v>234</v>
      </c>
      <c r="F41" s="20" t="s">
        <v>100</v>
      </c>
      <c r="G41" s="20"/>
      <c r="H41" s="20"/>
      <c r="I41" s="20" t="s">
        <v>100</v>
      </c>
      <c r="J41" s="20" t="s">
        <v>101</v>
      </c>
      <c r="K41" s="20" t="s">
        <v>235</v>
      </c>
    </row>
    <row r="42" customFormat="false" ht="23.85" hidden="false" customHeight="false" outlineLevel="0" collapsed="false">
      <c r="A42" s="20" t="s">
        <v>236</v>
      </c>
      <c r="B42" s="20" t="n">
        <v>4</v>
      </c>
      <c r="C42" s="20" t="s">
        <v>43</v>
      </c>
      <c r="D42" s="20" t="s">
        <v>44</v>
      </c>
      <c r="E42" s="20" t="s">
        <v>234</v>
      </c>
      <c r="F42" s="20" t="s">
        <v>100</v>
      </c>
      <c r="G42" s="20" t="s">
        <v>237</v>
      </c>
      <c r="H42" s="20" t="s">
        <v>105</v>
      </c>
      <c r="I42" s="20" t="s">
        <v>100</v>
      </c>
      <c r="J42" s="20" t="s">
        <v>101</v>
      </c>
      <c r="K42" s="20" t="s">
        <v>238</v>
      </c>
    </row>
    <row r="43" customFormat="false" ht="23.85" hidden="false" customHeight="false" outlineLevel="0" collapsed="false">
      <c r="A43" s="20" t="s">
        <v>239</v>
      </c>
      <c r="B43" s="20" t="n">
        <v>4</v>
      </c>
      <c r="C43" s="20" t="s">
        <v>43</v>
      </c>
      <c r="D43" s="20" t="s">
        <v>44</v>
      </c>
      <c r="E43" s="20" t="s">
        <v>234</v>
      </c>
      <c r="F43" s="20" t="s">
        <v>100</v>
      </c>
      <c r="G43" s="20" t="s">
        <v>240</v>
      </c>
      <c r="H43" s="20" t="s">
        <v>109</v>
      </c>
      <c r="I43" s="20" t="s">
        <v>100</v>
      </c>
      <c r="J43" s="20" t="s">
        <v>101</v>
      </c>
      <c r="K43" s="20" t="s">
        <v>241</v>
      </c>
    </row>
    <row r="44" customFormat="false" ht="35.05" hidden="false" customHeight="false" outlineLevel="0" collapsed="false">
      <c r="A44" s="20" t="s">
        <v>242</v>
      </c>
      <c r="B44" s="20" t="n">
        <v>3</v>
      </c>
      <c r="C44" s="20" t="s">
        <v>43</v>
      </c>
      <c r="D44" s="20" t="s">
        <v>44</v>
      </c>
      <c r="E44" s="20" t="s">
        <v>243</v>
      </c>
      <c r="F44" s="20" t="s">
        <v>113</v>
      </c>
      <c r="G44" s="20"/>
      <c r="H44" s="20"/>
      <c r="I44" s="20" t="s">
        <v>113</v>
      </c>
      <c r="J44" s="20" t="s">
        <v>114</v>
      </c>
      <c r="K44" s="20" t="s">
        <v>244</v>
      </c>
    </row>
    <row r="45" customFormat="false" ht="23.85" hidden="false" customHeight="false" outlineLevel="0" collapsed="false">
      <c r="A45" s="20" t="s">
        <v>245</v>
      </c>
      <c r="B45" s="20" t="n">
        <v>4</v>
      </c>
      <c r="C45" s="20" t="s">
        <v>43</v>
      </c>
      <c r="D45" s="20" t="s">
        <v>44</v>
      </c>
      <c r="E45" s="20" t="s">
        <v>243</v>
      </c>
      <c r="F45" s="20" t="s">
        <v>113</v>
      </c>
      <c r="G45" s="20" t="s">
        <v>246</v>
      </c>
      <c r="H45" s="20" t="s">
        <v>118</v>
      </c>
      <c r="I45" s="20" t="s">
        <v>113</v>
      </c>
      <c r="J45" s="20" t="s">
        <v>114</v>
      </c>
      <c r="K45" s="20" t="s">
        <v>247</v>
      </c>
    </row>
    <row r="46" customFormat="false" ht="23.85" hidden="false" customHeight="false" outlineLevel="0" collapsed="false">
      <c r="A46" s="20" t="s">
        <v>248</v>
      </c>
      <c r="B46" s="20" t="n">
        <v>4</v>
      </c>
      <c r="C46" s="20" t="s">
        <v>43</v>
      </c>
      <c r="D46" s="20" t="s">
        <v>44</v>
      </c>
      <c r="E46" s="20" t="s">
        <v>243</v>
      </c>
      <c r="F46" s="20" t="s">
        <v>113</v>
      </c>
      <c r="G46" s="20" t="s">
        <v>249</v>
      </c>
      <c r="H46" s="20" t="s">
        <v>122</v>
      </c>
      <c r="I46" s="20" t="s">
        <v>113</v>
      </c>
      <c r="J46" s="20" t="s">
        <v>114</v>
      </c>
      <c r="K46" s="20" t="s">
        <v>250</v>
      </c>
    </row>
    <row r="47" customFormat="false" ht="35.05" hidden="false" customHeight="false" outlineLevel="0" collapsed="false">
      <c r="A47" s="20" t="s">
        <v>251</v>
      </c>
      <c r="B47" s="20" t="n">
        <v>3</v>
      </c>
      <c r="C47" s="20" t="s">
        <v>43</v>
      </c>
      <c r="D47" s="20" t="s">
        <v>44</v>
      </c>
      <c r="E47" s="20" t="s">
        <v>252</v>
      </c>
      <c r="F47" s="20" t="s">
        <v>126</v>
      </c>
      <c r="G47" s="20"/>
      <c r="H47" s="20"/>
      <c r="I47" s="20" t="s">
        <v>126</v>
      </c>
      <c r="J47" s="20" t="s">
        <v>127</v>
      </c>
      <c r="K47" s="20" t="s">
        <v>253</v>
      </c>
    </row>
    <row r="48" customFormat="false" ht="23.85" hidden="false" customHeight="false" outlineLevel="0" collapsed="false">
      <c r="A48" s="20" t="s">
        <v>254</v>
      </c>
      <c r="B48" s="20" t="n">
        <v>4</v>
      </c>
      <c r="C48" s="20" t="s">
        <v>43</v>
      </c>
      <c r="D48" s="20" t="s">
        <v>44</v>
      </c>
      <c r="E48" s="20" t="s">
        <v>252</v>
      </c>
      <c r="F48" s="20" t="s">
        <v>126</v>
      </c>
      <c r="G48" s="20" t="s">
        <v>255</v>
      </c>
      <c r="H48" s="20" t="s">
        <v>131</v>
      </c>
      <c r="I48" s="20" t="s">
        <v>126</v>
      </c>
      <c r="J48" s="20" t="s">
        <v>127</v>
      </c>
      <c r="K48" s="20" t="s">
        <v>256</v>
      </c>
    </row>
    <row r="49" customFormat="false" ht="23.85" hidden="false" customHeight="false" outlineLevel="0" collapsed="false">
      <c r="A49" s="20" t="s">
        <v>257</v>
      </c>
      <c r="B49" s="20" t="n">
        <v>4</v>
      </c>
      <c r="C49" s="20" t="s">
        <v>43</v>
      </c>
      <c r="D49" s="20" t="s">
        <v>44</v>
      </c>
      <c r="E49" s="20" t="s">
        <v>252</v>
      </c>
      <c r="F49" s="20" t="s">
        <v>126</v>
      </c>
      <c r="G49" s="20" t="s">
        <v>258</v>
      </c>
      <c r="H49" s="20" t="s">
        <v>135</v>
      </c>
      <c r="I49" s="20" t="s">
        <v>126</v>
      </c>
      <c r="J49" s="20" t="s">
        <v>127</v>
      </c>
      <c r="K49" s="20" t="s">
        <v>259</v>
      </c>
    </row>
    <row r="50" customFormat="false" ht="35.05" hidden="false" customHeight="false" outlineLevel="0" collapsed="false">
      <c r="A50" s="20" t="s">
        <v>260</v>
      </c>
      <c r="B50" s="20" t="n">
        <v>3</v>
      </c>
      <c r="C50" s="20" t="s">
        <v>43</v>
      </c>
      <c r="D50" s="20" t="s">
        <v>44</v>
      </c>
      <c r="E50" s="20" t="s">
        <v>261</v>
      </c>
      <c r="F50" s="20" t="s">
        <v>139</v>
      </c>
      <c r="G50" s="20"/>
      <c r="H50" s="20"/>
      <c r="I50" s="20" t="s">
        <v>139</v>
      </c>
      <c r="J50" s="20" t="s">
        <v>140</v>
      </c>
      <c r="K50" s="20" t="s">
        <v>262</v>
      </c>
    </row>
    <row r="51" customFormat="false" ht="23.85" hidden="false" customHeight="false" outlineLevel="0" collapsed="false">
      <c r="A51" s="20" t="s">
        <v>263</v>
      </c>
      <c r="B51" s="20" t="n">
        <v>4</v>
      </c>
      <c r="C51" s="20" t="s">
        <v>43</v>
      </c>
      <c r="D51" s="20" t="s">
        <v>44</v>
      </c>
      <c r="E51" s="20" t="s">
        <v>261</v>
      </c>
      <c r="F51" s="20" t="s">
        <v>139</v>
      </c>
      <c r="G51" s="20" t="s">
        <v>264</v>
      </c>
      <c r="H51" s="20" t="s">
        <v>265</v>
      </c>
      <c r="I51" s="20" t="s">
        <v>139</v>
      </c>
      <c r="J51" s="20" t="s">
        <v>140</v>
      </c>
      <c r="K51" s="20" t="s">
        <v>266</v>
      </c>
    </row>
    <row r="52" customFormat="false" ht="23.85" hidden="false" customHeight="false" outlineLevel="0" collapsed="false">
      <c r="A52" s="20" t="s">
        <v>267</v>
      </c>
      <c r="B52" s="20" t="n">
        <v>4</v>
      </c>
      <c r="C52" s="20" t="s">
        <v>43</v>
      </c>
      <c r="D52" s="20" t="s">
        <v>44</v>
      </c>
      <c r="E52" s="20" t="s">
        <v>261</v>
      </c>
      <c r="F52" s="20" t="s">
        <v>139</v>
      </c>
      <c r="G52" s="20" t="s">
        <v>268</v>
      </c>
      <c r="H52" s="20" t="s">
        <v>269</v>
      </c>
      <c r="I52" s="20" t="s">
        <v>139</v>
      </c>
      <c r="J52" s="20" t="s">
        <v>140</v>
      </c>
      <c r="K52" s="20" t="s">
        <v>270</v>
      </c>
    </row>
    <row r="53" customFormat="false" ht="23.85" hidden="false" customHeight="false" outlineLevel="0" collapsed="false">
      <c r="A53" s="20" t="s">
        <v>271</v>
      </c>
      <c r="B53" s="20" t="n">
        <v>4</v>
      </c>
      <c r="C53" s="20" t="s">
        <v>43</v>
      </c>
      <c r="D53" s="20" t="s">
        <v>44</v>
      </c>
      <c r="E53" s="20" t="s">
        <v>261</v>
      </c>
      <c r="F53" s="20" t="s">
        <v>139</v>
      </c>
      <c r="G53" s="20" t="s">
        <v>272</v>
      </c>
      <c r="H53" s="20" t="s">
        <v>273</v>
      </c>
      <c r="I53" s="20" t="s">
        <v>139</v>
      </c>
      <c r="J53" s="20" t="s">
        <v>140</v>
      </c>
      <c r="K53" s="20" t="s">
        <v>274</v>
      </c>
    </row>
    <row r="54" customFormat="false" ht="35.05" hidden="false" customHeight="false" outlineLevel="0" collapsed="false">
      <c r="A54" s="20" t="s">
        <v>275</v>
      </c>
      <c r="B54" s="20" t="n">
        <v>3</v>
      </c>
      <c r="C54" s="20" t="s">
        <v>43</v>
      </c>
      <c r="D54" s="20" t="s">
        <v>44</v>
      </c>
      <c r="E54" s="20" t="s">
        <v>276</v>
      </c>
      <c r="F54" s="20" t="s">
        <v>156</v>
      </c>
      <c r="G54" s="20"/>
      <c r="H54" s="20"/>
      <c r="I54" s="20" t="s">
        <v>156</v>
      </c>
      <c r="J54" s="20" t="s">
        <v>157</v>
      </c>
      <c r="K54" s="20" t="s">
        <v>277</v>
      </c>
    </row>
    <row r="55" customFormat="false" ht="23.85" hidden="false" customHeight="false" outlineLevel="0" collapsed="false">
      <c r="A55" s="20" t="s">
        <v>278</v>
      </c>
      <c r="B55" s="20" t="n">
        <v>4</v>
      </c>
      <c r="C55" s="20" t="s">
        <v>43</v>
      </c>
      <c r="D55" s="20" t="s">
        <v>44</v>
      </c>
      <c r="E55" s="20" t="s">
        <v>276</v>
      </c>
      <c r="F55" s="20" t="s">
        <v>156</v>
      </c>
      <c r="G55" s="20" t="s">
        <v>279</v>
      </c>
      <c r="H55" s="20" t="s">
        <v>280</v>
      </c>
      <c r="I55" s="20" t="s">
        <v>156</v>
      </c>
      <c r="J55" s="20" t="s">
        <v>157</v>
      </c>
      <c r="K55" s="20" t="s">
        <v>281</v>
      </c>
    </row>
    <row r="56" customFormat="false" ht="23.85" hidden="false" customHeight="false" outlineLevel="0" collapsed="false">
      <c r="A56" s="20" t="s">
        <v>282</v>
      </c>
      <c r="B56" s="20" t="n">
        <v>4</v>
      </c>
      <c r="C56" s="20" t="s">
        <v>43</v>
      </c>
      <c r="D56" s="20" t="s">
        <v>44</v>
      </c>
      <c r="E56" s="20" t="s">
        <v>276</v>
      </c>
      <c r="F56" s="20" t="s">
        <v>156</v>
      </c>
      <c r="G56" s="20" t="s">
        <v>283</v>
      </c>
      <c r="H56" s="20" t="s">
        <v>284</v>
      </c>
      <c r="I56" s="20" t="s">
        <v>156</v>
      </c>
      <c r="J56" s="20" t="s">
        <v>157</v>
      </c>
      <c r="K56" s="20" t="s">
        <v>285</v>
      </c>
    </row>
    <row r="57" customFormat="false" ht="23.85" hidden="false" customHeight="false" outlineLevel="0" collapsed="false">
      <c r="A57" s="20" t="s">
        <v>286</v>
      </c>
      <c r="B57" s="20" t="n">
        <v>4</v>
      </c>
      <c r="C57" s="20" t="s">
        <v>43</v>
      </c>
      <c r="D57" s="20" t="s">
        <v>44</v>
      </c>
      <c r="E57" s="20" t="s">
        <v>276</v>
      </c>
      <c r="F57" s="20" t="s">
        <v>156</v>
      </c>
      <c r="G57" s="20" t="s">
        <v>287</v>
      </c>
      <c r="H57" s="20" t="s">
        <v>288</v>
      </c>
      <c r="I57" s="20" t="s">
        <v>156</v>
      </c>
      <c r="J57" s="20" t="s">
        <v>157</v>
      </c>
      <c r="K57" s="20" t="s">
        <v>289</v>
      </c>
    </row>
    <row r="58" customFormat="false" ht="35.05" hidden="false" customHeight="false" outlineLevel="0" collapsed="false">
      <c r="A58" s="20" t="s">
        <v>290</v>
      </c>
      <c r="B58" s="20" t="n">
        <v>3</v>
      </c>
      <c r="C58" s="20" t="s">
        <v>43</v>
      </c>
      <c r="D58" s="20" t="s">
        <v>44</v>
      </c>
      <c r="E58" s="20" t="s">
        <v>291</v>
      </c>
      <c r="F58" s="20" t="s">
        <v>165</v>
      </c>
      <c r="G58" s="20"/>
      <c r="H58" s="20"/>
      <c r="I58" s="20" t="s">
        <v>165</v>
      </c>
      <c r="J58" s="20" t="s">
        <v>166</v>
      </c>
      <c r="K58" s="20" t="s">
        <v>292</v>
      </c>
    </row>
    <row r="59" customFormat="false" ht="23.85" hidden="false" customHeight="false" outlineLevel="0" collapsed="false">
      <c r="A59" s="20" t="s">
        <v>293</v>
      </c>
      <c r="B59" s="20" t="n">
        <v>4</v>
      </c>
      <c r="C59" s="20" t="s">
        <v>43</v>
      </c>
      <c r="D59" s="20" t="s">
        <v>44</v>
      </c>
      <c r="E59" s="20" t="s">
        <v>291</v>
      </c>
      <c r="F59" s="20" t="s">
        <v>165</v>
      </c>
      <c r="G59" s="20" t="s">
        <v>294</v>
      </c>
      <c r="H59" s="20" t="s">
        <v>170</v>
      </c>
      <c r="I59" s="20" t="s">
        <v>165</v>
      </c>
      <c r="J59" s="20" t="s">
        <v>166</v>
      </c>
      <c r="K59" s="20" t="s">
        <v>295</v>
      </c>
    </row>
    <row r="60" customFormat="false" ht="23.85" hidden="false" customHeight="false" outlineLevel="0" collapsed="false">
      <c r="A60" s="20" t="s">
        <v>296</v>
      </c>
      <c r="B60" s="20" t="n">
        <v>4</v>
      </c>
      <c r="C60" s="20" t="s">
        <v>43</v>
      </c>
      <c r="D60" s="20" t="s">
        <v>44</v>
      </c>
      <c r="E60" s="20" t="s">
        <v>291</v>
      </c>
      <c r="F60" s="20" t="s">
        <v>165</v>
      </c>
      <c r="G60" s="20" t="s">
        <v>297</v>
      </c>
      <c r="H60" s="20" t="s">
        <v>174</v>
      </c>
      <c r="I60" s="20" t="s">
        <v>165</v>
      </c>
      <c r="J60" s="20" t="s">
        <v>166</v>
      </c>
      <c r="K60" s="20" t="s">
        <v>298</v>
      </c>
    </row>
    <row r="61" customFormat="false" ht="35.05" hidden="false" customHeight="false" outlineLevel="0" collapsed="false">
      <c r="A61" s="20" t="s">
        <v>299</v>
      </c>
      <c r="B61" s="20" t="n">
        <v>3</v>
      </c>
      <c r="C61" s="20" t="s">
        <v>47</v>
      </c>
      <c r="D61" s="20" t="s">
        <v>48</v>
      </c>
      <c r="E61" s="20" t="s">
        <v>300</v>
      </c>
      <c r="F61" s="20" t="s">
        <v>100</v>
      </c>
      <c r="G61" s="20"/>
      <c r="H61" s="20"/>
      <c r="I61" s="20" t="s">
        <v>100</v>
      </c>
      <c r="J61" s="20" t="s">
        <v>101</v>
      </c>
      <c r="K61" s="20" t="s">
        <v>301</v>
      </c>
    </row>
    <row r="62" customFormat="false" ht="23.85" hidden="false" customHeight="false" outlineLevel="0" collapsed="false">
      <c r="A62" s="20" t="s">
        <v>302</v>
      </c>
      <c r="B62" s="20" t="n">
        <v>4</v>
      </c>
      <c r="C62" s="20" t="s">
        <v>47</v>
      </c>
      <c r="D62" s="20" t="s">
        <v>48</v>
      </c>
      <c r="E62" s="20" t="s">
        <v>300</v>
      </c>
      <c r="F62" s="20" t="s">
        <v>100</v>
      </c>
      <c r="G62" s="20" t="s">
        <v>303</v>
      </c>
      <c r="H62" s="20" t="s">
        <v>105</v>
      </c>
      <c r="I62" s="20" t="s">
        <v>100</v>
      </c>
      <c r="J62" s="20" t="s">
        <v>101</v>
      </c>
      <c r="K62" s="20" t="s">
        <v>304</v>
      </c>
    </row>
    <row r="63" customFormat="false" ht="23.85" hidden="false" customHeight="false" outlineLevel="0" collapsed="false">
      <c r="A63" s="20" t="s">
        <v>305</v>
      </c>
      <c r="B63" s="20" t="n">
        <v>4</v>
      </c>
      <c r="C63" s="20" t="s">
        <v>47</v>
      </c>
      <c r="D63" s="20" t="s">
        <v>48</v>
      </c>
      <c r="E63" s="20" t="s">
        <v>300</v>
      </c>
      <c r="F63" s="20" t="s">
        <v>100</v>
      </c>
      <c r="G63" s="20" t="s">
        <v>306</v>
      </c>
      <c r="H63" s="20" t="s">
        <v>109</v>
      </c>
      <c r="I63" s="20" t="s">
        <v>100</v>
      </c>
      <c r="J63" s="20" t="s">
        <v>101</v>
      </c>
      <c r="K63" s="20" t="s">
        <v>307</v>
      </c>
    </row>
    <row r="64" customFormat="false" ht="35.05" hidden="false" customHeight="false" outlineLevel="0" collapsed="false">
      <c r="A64" s="20" t="s">
        <v>308</v>
      </c>
      <c r="B64" s="20" t="n">
        <v>3</v>
      </c>
      <c r="C64" s="20" t="s">
        <v>47</v>
      </c>
      <c r="D64" s="20" t="s">
        <v>48</v>
      </c>
      <c r="E64" s="20" t="s">
        <v>309</v>
      </c>
      <c r="F64" s="20" t="s">
        <v>113</v>
      </c>
      <c r="G64" s="20"/>
      <c r="H64" s="20"/>
      <c r="I64" s="20" t="s">
        <v>113</v>
      </c>
      <c r="J64" s="20" t="s">
        <v>114</v>
      </c>
      <c r="K64" s="20" t="s">
        <v>310</v>
      </c>
    </row>
    <row r="65" customFormat="false" ht="23.85" hidden="false" customHeight="false" outlineLevel="0" collapsed="false">
      <c r="A65" s="20" t="s">
        <v>311</v>
      </c>
      <c r="B65" s="20" t="n">
        <v>4</v>
      </c>
      <c r="C65" s="20" t="s">
        <v>47</v>
      </c>
      <c r="D65" s="20" t="s">
        <v>48</v>
      </c>
      <c r="E65" s="20" t="s">
        <v>309</v>
      </c>
      <c r="F65" s="20" t="s">
        <v>113</v>
      </c>
      <c r="G65" s="20" t="s">
        <v>312</v>
      </c>
      <c r="H65" s="20" t="s">
        <v>118</v>
      </c>
      <c r="I65" s="20" t="s">
        <v>113</v>
      </c>
      <c r="J65" s="20" t="s">
        <v>114</v>
      </c>
      <c r="K65" s="20" t="s">
        <v>313</v>
      </c>
    </row>
    <row r="66" customFormat="false" ht="23.85" hidden="false" customHeight="false" outlineLevel="0" collapsed="false">
      <c r="A66" s="20" t="s">
        <v>314</v>
      </c>
      <c r="B66" s="20" t="n">
        <v>4</v>
      </c>
      <c r="C66" s="20" t="s">
        <v>47</v>
      </c>
      <c r="D66" s="20" t="s">
        <v>48</v>
      </c>
      <c r="E66" s="20" t="s">
        <v>309</v>
      </c>
      <c r="F66" s="20" t="s">
        <v>113</v>
      </c>
      <c r="G66" s="20" t="s">
        <v>315</v>
      </c>
      <c r="H66" s="20" t="s">
        <v>122</v>
      </c>
      <c r="I66" s="20" t="s">
        <v>113</v>
      </c>
      <c r="J66" s="20" t="s">
        <v>114</v>
      </c>
      <c r="K66" s="20" t="s">
        <v>316</v>
      </c>
    </row>
    <row r="67" customFormat="false" ht="23.85" hidden="false" customHeight="false" outlineLevel="0" collapsed="false">
      <c r="A67" s="20" t="s">
        <v>317</v>
      </c>
      <c r="B67" s="20" t="n">
        <v>3</v>
      </c>
      <c r="C67" s="20" t="s">
        <v>47</v>
      </c>
      <c r="D67" s="20" t="s">
        <v>48</v>
      </c>
      <c r="E67" s="20" t="s">
        <v>318</v>
      </c>
      <c r="F67" s="20" t="s">
        <v>126</v>
      </c>
      <c r="G67" s="20"/>
      <c r="H67" s="20"/>
      <c r="I67" s="20" t="s">
        <v>126</v>
      </c>
      <c r="J67" s="20" t="s">
        <v>127</v>
      </c>
      <c r="K67" s="20" t="s">
        <v>319</v>
      </c>
    </row>
    <row r="68" customFormat="false" ht="23.85" hidden="false" customHeight="false" outlineLevel="0" collapsed="false">
      <c r="A68" s="20" t="s">
        <v>320</v>
      </c>
      <c r="B68" s="20" t="n">
        <v>4</v>
      </c>
      <c r="C68" s="20" t="s">
        <v>47</v>
      </c>
      <c r="D68" s="20" t="s">
        <v>48</v>
      </c>
      <c r="E68" s="20" t="s">
        <v>318</v>
      </c>
      <c r="F68" s="20" t="s">
        <v>126</v>
      </c>
      <c r="G68" s="20" t="s">
        <v>321</v>
      </c>
      <c r="H68" s="20" t="s">
        <v>131</v>
      </c>
      <c r="I68" s="20" t="s">
        <v>126</v>
      </c>
      <c r="J68" s="20" t="s">
        <v>127</v>
      </c>
      <c r="K68" s="20" t="s">
        <v>322</v>
      </c>
    </row>
    <row r="69" customFormat="false" ht="23.85" hidden="false" customHeight="false" outlineLevel="0" collapsed="false">
      <c r="A69" s="20" t="s">
        <v>323</v>
      </c>
      <c r="B69" s="20" t="n">
        <v>4</v>
      </c>
      <c r="C69" s="20" t="s">
        <v>47</v>
      </c>
      <c r="D69" s="20" t="s">
        <v>48</v>
      </c>
      <c r="E69" s="20" t="s">
        <v>318</v>
      </c>
      <c r="F69" s="20" t="s">
        <v>126</v>
      </c>
      <c r="G69" s="20" t="s">
        <v>324</v>
      </c>
      <c r="H69" s="20" t="s">
        <v>135</v>
      </c>
      <c r="I69" s="20" t="s">
        <v>126</v>
      </c>
      <c r="J69" s="20" t="s">
        <v>127</v>
      </c>
      <c r="K69" s="20" t="s">
        <v>325</v>
      </c>
    </row>
    <row r="70" customFormat="false" ht="23.85" hidden="false" customHeight="false" outlineLevel="0" collapsed="false">
      <c r="A70" s="20" t="s">
        <v>326</v>
      </c>
      <c r="B70" s="20" t="n">
        <v>3</v>
      </c>
      <c r="C70" s="20" t="s">
        <v>47</v>
      </c>
      <c r="D70" s="20" t="s">
        <v>48</v>
      </c>
      <c r="E70" s="20" t="s">
        <v>327</v>
      </c>
      <c r="F70" s="20" t="s">
        <v>139</v>
      </c>
      <c r="G70" s="20"/>
      <c r="H70" s="20"/>
      <c r="I70" s="20" t="s">
        <v>139</v>
      </c>
      <c r="J70" s="20" t="s">
        <v>140</v>
      </c>
      <c r="K70" s="20" t="s">
        <v>328</v>
      </c>
    </row>
    <row r="71" customFormat="false" ht="23.85" hidden="false" customHeight="false" outlineLevel="0" collapsed="false">
      <c r="A71" s="20" t="s">
        <v>329</v>
      </c>
      <c r="B71" s="20" t="n">
        <v>4</v>
      </c>
      <c r="C71" s="20" t="s">
        <v>47</v>
      </c>
      <c r="D71" s="20" t="s">
        <v>48</v>
      </c>
      <c r="E71" s="20" t="s">
        <v>327</v>
      </c>
      <c r="F71" s="20" t="s">
        <v>139</v>
      </c>
      <c r="G71" s="20" t="s">
        <v>330</v>
      </c>
      <c r="H71" s="20" t="s">
        <v>331</v>
      </c>
      <c r="I71" s="20" t="s">
        <v>139</v>
      </c>
      <c r="J71" s="20" t="s">
        <v>140</v>
      </c>
      <c r="K71" s="20" t="s">
        <v>332</v>
      </c>
    </row>
    <row r="72" customFormat="false" ht="23.85" hidden="false" customHeight="false" outlineLevel="0" collapsed="false">
      <c r="A72" s="20" t="s">
        <v>333</v>
      </c>
      <c r="B72" s="20" t="n">
        <v>4</v>
      </c>
      <c r="C72" s="20" t="s">
        <v>47</v>
      </c>
      <c r="D72" s="20" t="s">
        <v>48</v>
      </c>
      <c r="E72" s="20" t="s">
        <v>327</v>
      </c>
      <c r="F72" s="20" t="s">
        <v>139</v>
      </c>
      <c r="G72" s="20" t="s">
        <v>334</v>
      </c>
      <c r="H72" s="20" t="s">
        <v>335</v>
      </c>
      <c r="I72" s="20" t="s">
        <v>139</v>
      </c>
      <c r="J72" s="20" t="s">
        <v>140</v>
      </c>
      <c r="K72" s="20" t="s">
        <v>336</v>
      </c>
    </row>
    <row r="73" customFormat="false" ht="23.85" hidden="false" customHeight="false" outlineLevel="0" collapsed="false">
      <c r="A73" s="20" t="s">
        <v>337</v>
      </c>
      <c r="B73" s="20" t="n">
        <v>4</v>
      </c>
      <c r="C73" s="20" t="s">
        <v>47</v>
      </c>
      <c r="D73" s="20" t="s">
        <v>48</v>
      </c>
      <c r="E73" s="20" t="s">
        <v>327</v>
      </c>
      <c r="F73" s="20" t="s">
        <v>139</v>
      </c>
      <c r="G73" s="20" t="s">
        <v>338</v>
      </c>
      <c r="H73" s="20" t="s">
        <v>339</v>
      </c>
      <c r="I73" s="20" t="s">
        <v>139</v>
      </c>
      <c r="J73" s="20" t="s">
        <v>140</v>
      </c>
      <c r="K73" s="20" t="s">
        <v>340</v>
      </c>
    </row>
    <row r="74" customFormat="false" ht="35.05" hidden="false" customHeight="false" outlineLevel="0" collapsed="false">
      <c r="A74" s="20" t="s">
        <v>341</v>
      </c>
      <c r="B74" s="20" t="n">
        <v>3</v>
      </c>
      <c r="C74" s="20" t="s">
        <v>47</v>
      </c>
      <c r="D74" s="20" t="s">
        <v>48</v>
      </c>
      <c r="E74" s="20" t="s">
        <v>342</v>
      </c>
      <c r="F74" s="20" t="s">
        <v>156</v>
      </c>
      <c r="G74" s="20"/>
      <c r="H74" s="20"/>
      <c r="I74" s="20" t="s">
        <v>156</v>
      </c>
      <c r="J74" s="20" t="s">
        <v>157</v>
      </c>
      <c r="K74" s="20" t="s">
        <v>343</v>
      </c>
    </row>
    <row r="75" customFormat="false" ht="23.85" hidden="false" customHeight="false" outlineLevel="0" collapsed="false">
      <c r="A75" s="20" t="s">
        <v>344</v>
      </c>
      <c r="B75" s="20" t="n">
        <v>4</v>
      </c>
      <c r="C75" s="20" t="s">
        <v>47</v>
      </c>
      <c r="D75" s="20" t="s">
        <v>48</v>
      </c>
      <c r="E75" s="20" t="s">
        <v>342</v>
      </c>
      <c r="F75" s="20" t="s">
        <v>156</v>
      </c>
      <c r="G75" s="20" t="s">
        <v>345</v>
      </c>
      <c r="H75" s="20" t="s">
        <v>161</v>
      </c>
      <c r="I75" s="20" t="s">
        <v>156</v>
      </c>
      <c r="J75" s="20" t="s">
        <v>157</v>
      </c>
      <c r="K75" s="20" t="s">
        <v>346</v>
      </c>
    </row>
    <row r="76" customFormat="false" ht="35.05" hidden="false" customHeight="false" outlineLevel="0" collapsed="false">
      <c r="A76" s="20" t="s">
        <v>347</v>
      </c>
      <c r="B76" s="20" t="n">
        <v>3</v>
      </c>
      <c r="C76" s="20" t="s">
        <v>47</v>
      </c>
      <c r="D76" s="20" t="s">
        <v>48</v>
      </c>
      <c r="E76" s="20" t="s">
        <v>348</v>
      </c>
      <c r="F76" s="20" t="s">
        <v>165</v>
      </c>
      <c r="G76" s="20"/>
      <c r="H76" s="20"/>
      <c r="I76" s="20" t="s">
        <v>165</v>
      </c>
      <c r="J76" s="20" t="s">
        <v>166</v>
      </c>
      <c r="K76" s="20" t="s">
        <v>349</v>
      </c>
    </row>
    <row r="77" customFormat="false" ht="23.85" hidden="false" customHeight="false" outlineLevel="0" collapsed="false">
      <c r="A77" s="20" t="s">
        <v>350</v>
      </c>
      <c r="B77" s="20" t="n">
        <v>4</v>
      </c>
      <c r="C77" s="20" t="s">
        <v>47</v>
      </c>
      <c r="D77" s="20" t="s">
        <v>48</v>
      </c>
      <c r="E77" s="20" t="s">
        <v>348</v>
      </c>
      <c r="F77" s="20" t="s">
        <v>165</v>
      </c>
      <c r="G77" s="20" t="s">
        <v>351</v>
      </c>
      <c r="H77" s="20" t="s">
        <v>170</v>
      </c>
      <c r="I77" s="20" t="s">
        <v>165</v>
      </c>
      <c r="J77" s="20" t="s">
        <v>166</v>
      </c>
      <c r="K77" s="20" t="s">
        <v>352</v>
      </c>
    </row>
    <row r="78" customFormat="false" ht="23.85" hidden="false" customHeight="false" outlineLevel="0" collapsed="false">
      <c r="A78" s="20" t="s">
        <v>353</v>
      </c>
      <c r="B78" s="20" t="n">
        <v>4</v>
      </c>
      <c r="C78" s="20" t="s">
        <v>47</v>
      </c>
      <c r="D78" s="20" t="s">
        <v>48</v>
      </c>
      <c r="E78" s="20" t="s">
        <v>348</v>
      </c>
      <c r="F78" s="20" t="s">
        <v>165</v>
      </c>
      <c r="G78" s="20" t="s">
        <v>354</v>
      </c>
      <c r="H78" s="20" t="s">
        <v>174</v>
      </c>
      <c r="I78" s="20" t="s">
        <v>165</v>
      </c>
      <c r="J78" s="20" t="s">
        <v>166</v>
      </c>
      <c r="K78" s="20" t="s">
        <v>355</v>
      </c>
    </row>
    <row r="79" customFormat="false" ht="35.05" hidden="false" customHeight="false" outlineLevel="0" collapsed="false">
      <c r="A79" s="20" t="s">
        <v>356</v>
      </c>
      <c r="B79" s="20" t="n">
        <v>3</v>
      </c>
      <c r="C79" s="20" t="s">
        <v>51</v>
      </c>
      <c r="D79" s="20" t="s">
        <v>52</v>
      </c>
      <c r="E79" s="20" t="s">
        <v>357</v>
      </c>
      <c r="F79" s="20" t="s">
        <v>100</v>
      </c>
      <c r="G79" s="20"/>
      <c r="H79" s="20"/>
      <c r="I79" s="20" t="s">
        <v>100</v>
      </c>
      <c r="J79" s="20" t="s">
        <v>101</v>
      </c>
      <c r="K79" s="20" t="s">
        <v>358</v>
      </c>
    </row>
    <row r="80" customFormat="false" ht="23.85" hidden="false" customHeight="false" outlineLevel="0" collapsed="false">
      <c r="A80" s="20" t="s">
        <v>359</v>
      </c>
      <c r="B80" s="20" t="n">
        <v>4</v>
      </c>
      <c r="C80" s="20" t="s">
        <v>51</v>
      </c>
      <c r="D80" s="20" t="s">
        <v>52</v>
      </c>
      <c r="E80" s="20" t="s">
        <v>357</v>
      </c>
      <c r="F80" s="20" t="s">
        <v>100</v>
      </c>
      <c r="G80" s="20" t="s">
        <v>360</v>
      </c>
      <c r="H80" s="20" t="s">
        <v>105</v>
      </c>
      <c r="I80" s="20" t="s">
        <v>100</v>
      </c>
      <c r="J80" s="20" t="s">
        <v>101</v>
      </c>
      <c r="K80" s="20" t="s">
        <v>361</v>
      </c>
    </row>
    <row r="81" customFormat="false" ht="23.85" hidden="false" customHeight="false" outlineLevel="0" collapsed="false">
      <c r="A81" s="20" t="s">
        <v>362</v>
      </c>
      <c r="B81" s="20" t="n">
        <v>4</v>
      </c>
      <c r="C81" s="20" t="s">
        <v>51</v>
      </c>
      <c r="D81" s="20" t="s">
        <v>52</v>
      </c>
      <c r="E81" s="20" t="s">
        <v>357</v>
      </c>
      <c r="F81" s="20" t="s">
        <v>100</v>
      </c>
      <c r="G81" s="20" t="s">
        <v>363</v>
      </c>
      <c r="H81" s="20" t="s">
        <v>109</v>
      </c>
      <c r="I81" s="20" t="s">
        <v>100</v>
      </c>
      <c r="J81" s="20" t="s">
        <v>101</v>
      </c>
      <c r="K81" s="20" t="s">
        <v>364</v>
      </c>
    </row>
    <row r="82" customFormat="false" ht="35.05" hidden="false" customHeight="false" outlineLevel="0" collapsed="false">
      <c r="A82" s="20" t="s">
        <v>365</v>
      </c>
      <c r="B82" s="20" t="n">
        <v>3</v>
      </c>
      <c r="C82" s="20" t="s">
        <v>51</v>
      </c>
      <c r="D82" s="20" t="s">
        <v>52</v>
      </c>
      <c r="E82" s="20" t="s">
        <v>366</v>
      </c>
      <c r="F82" s="20" t="s">
        <v>113</v>
      </c>
      <c r="G82" s="20"/>
      <c r="H82" s="20"/>
      <c r="I82" s="20" t="s">
        <v>113</v>
      </c>
      <c r="J82" s="20" t="s">
        <v>114</v>
      </c>
      <c r="K82" s="20" t="s">
        <v>367</v>
      </c>
    </row>
    <row r="83" customFormat="false" ht="23.85" hidden="false" customHeight="false" outlineLevel="0" collapsed="false">
      <c r="A83" s="20" t="s">
        <v>368</v>
      </c>
      <c r="B83" s="20" t="n">
        <v>4</v>
      </c>
      <c r="C83" s="20" t="s">
        <v>51</v>
      </c>
      <c r="D83" s="20" t="s">
        <v>52</v>
      </c>
      <c r="E83" s="20" t="s">
        <v>366</v>
      </c>
      <c r="F83" s="20" t="s">
        <v>113</v>
      </c>
      <c r="G83" s="20" t="s">
        <v>369</v>
      </c>
      <c r="H83" s="20" t="s">
        <v>118</v>
      </c>
      <c r="I83" s="20" t="s">
        <v>113</v>
      </c>
      <c r="J83" s="20" t="s">
        <v>114</v>
      </c>
      <c r="K83" s="20" t="s">
        <v>370</v>
      </c>
    </row>
    <row r="84" customFormat="false" ht="23.85" hidden="false" customHeight="false" outlineLevel="0" collapsed="false">
      <c r="A84" s="20" t="s">
        <v>371</v>
      </c>
      <c r="B84" s="20" t="n">
        <v>4</v>
      </c>
      <c r="C84" s="20" t="s">
        <v>51</v>
      </c>
      <c r="D84" s="20" t="s">
        <v>52</v>
      </c>
      <c r="E84" s="20" t="s">
        <v>366</v>
      </c>
      <c r="F84" s="20" t="s">
        <v>113</v>
      </c>
      <c r="G84" s="20" t="s">
        <v>372</v>
      </c>
      <c r="H84" s="20" t="s">
        <v>122</v>
      </c>
      <c r="I84" s="20" t="s">
        <v>113</v>
      </c>
      <c r="J84" s="20" t="s">
        <v>114</v>
      </c>
      <c r="K84" s="20" t="s">
        <v>373</v>
      </c>
    </row>
    <row r="85" customFormat="false" ht="23.85" hidden="false" customHeight="false" outlineLevel="0" collapsed="false">
      <c r="A85" s="20" t="s">
        <v>374</v>
      </c>
      <c r="B85" s="20" t="n">
        <v>3</v>
      </c>
      <c r="C85" s="20" t="s">
        <v>51</v>
      </c>
      <c r="D85" s="20" t="s">
        <v>52</v>
      </c>
      <c r="E85" s="20" t="s">
        <v>375</v>
      </c>
      <c r="F85" s="20" t="s">
        <v>126</v>
      </c>
      <c r="G85" s="20"/>
      <c r="H85" s="20"/>
      <c r="I85" s="20" t="s">
        <v>126</v>
      </c>
      <c r="J85" s="20" t="s">
        <v>127</v>
      </c>
      <c r="K85" s="20" t="s">
        <v>376</v>
      </c>
    </row>
    <row r="86" customFormat="false" ht="23.85" hidden="false" customHeight="false" outlineLevel="0" collapsed="false">
      <c r="A86" s="20" t="s">
        <v>377</v>
      </c>
      <c r="B86" s="20" t="n">
        <v>4</v>
      </c>
      <c r="C86" s="20" t="s">
        <v>51</v>
      </c>
      <c r="D86" s="20" t="s">
        <v>52</v>
      </c>
      <c r="E86" s="20" t="s">
        <v>375</v>
      </c>
      <c r="F86" s="20" t="s">
        <v>126</v>
      </c>
      <c r="G86" s="20" t="s">
        <v>378</v>
      </c>
      <c r="H86" s="20" t="s">
        <v>131</v>
      </c>
      <c r="I86" s="20" t="s">
        <v>126</v>
      </c>
      <c r="J86" s="20" t="s">
        <v>127</v>
      </c>
      <c r="K86" s="20" t="s">
        <v>379</v>
      </c>
    </row>
    <row r="87" customFormat="false" ht="23.85" hidden="false" customHeight="false" outlineLevel="0" collapsed="false">
      <c r="A87" s="20" t="s">
        <v>380</v>
      </c>
      <c r="B87" s="20" t="n">
        <v>4</v>
      </c>
      <c r="C87" s="20" t="s">
        <v>51</v>
      </c>
      <c r="D87" s="20" t="s">
        <v>52</v>
      </c>
      <c r="E87" s="20" t="s">
        <v>375</v>
      </c>
      <c r="F87" s="20" t="s">
        <v>126</v>
      </c>
      <c r="G87" s="20" t="s">
        <v>381</v>
      </c>
      <c r="H87" s="20" t="s">
        <v>135</v>
      </c>
      <c r="I87" s="20" t="s">
        <v>126</v>
      </c>
      <c r="J87" s="20" t="s">
        <v>127</v>
      </c>
      <c r="K87" s="20" t="s">
        <v>382</v>
      </c>
    </row>
    <row r="88" customFormat="false" ht="23.85" hidden="false" customHeight="false" outlineLevel="0" collapsed="false">
      <c r="A88" s="20" t="s">
        <v>383</v>
      </c>
      <c r="B88" s="20" t="n">
        <v>3</v>
      </c>
      <c r="C88" s="20" t="s">
        <v>51</v>
      </c>
      <c r="D88" s="20" t="s">
        <v>52</v>
      </c>
      <c r="E88" s="20" t="s">
        <v>384</v>
      </c>
      <c r="F88" s="20" t="s">
        <v>139</v>
      </c>
      <c r="G88" s="20"/>
      <c r="H88" s="20"/>
      <c r="I88" s="20" t="s">
        <v>139</v>
      </c>
      <c r="J88" s="20" t="s">
        <v>140</v>
      </c>
      <c r="K88" s="20" t="s">
        <v>385</v>
      </c>
    </row>
    <row r="89" customFormat="false" ht="23.85" hidden="false" customHeight="false" outlineLevel="0" collapsed="false">
      <c r="A89" s="20" t="s">
        <v>386</v>
      </c>
      <c r="B89" s="20" t="n">
        <v>4</v>
      </c>
      <c r="C89" s="20" t="s">
        <v>51</v>
      </c>
      <c r="D89" s="20" t="s">
        <v>52</v>
      </c>
      <c r="E89" s="20" t="s">
        <v>384</v>
      </c>
      <c r="F89" s="20" t="s">
        <v>139</v>
      </c>
      <c r="G89" s="20" t="s">
        <v>387</v>
      </c>
      <c r="H89" s="20" t="s">
        <v>388</v>
      </c>
      <c r="I89" s="20" t="s">
        <v>139</v>
      </c>
      <c r="J89" s="20" t="s">
        <v>140</v>
      </c>
      <c r="K89" s="20" t="s">
        <v>389</v>
      </c>
    </row>
    <row r="90" customFormat="false" ht="23.85" hidden="false" customHeight="false" outlineLevel="0" collapsed="false">
      <c r="A90" s="20" t="s">
        <v>390</v>
      </c>
      <c r="B90" s="20" t="n">
        <v>4</v>
      </c>
      <c r="C90" s="20" t="s">
        <v>51</v>
      </c>
      <c r="D90" s="20" t="s">
        <v>52</v>
      </c>
      <c r="E90" s="20" t="s">
        <v>384</v>
      </c>
      <c r="F90" s="20" t="s">
        <v>139</v>
      </c>
      <c r="G90" s="20" t="s">
        <v>391</v>
      </c>
      <c r="H90" s="20" t="s">
        <v>392</v>
      </c>
      <c r="I90" s="20" t="s">
        <v>139</v>
      </c>
      <c r="J90" s="20" t="s">
        <v>140</v>
      </c>
      <c r="K90" s="20" t="s">
        <v>393</v>
      </c>
    </row>
    <row r="91" customFormat="false" ht="23.85" hidden="false" customHeight="false" outlineLevel="0" collapsed="false">
      <c r="A91" s="20" t="s">
        <v>394</v>
      </c>
      <c r="B91" s="20" t="n">
        <v>4</v>
      </c>
      <c r="C91" s="20" t="s">
        <v>51</v>
      </c>
      <c r="D91" s="20" t="s">
        <v>52</v>
      </c>
      <c r="E91" s="20" t="s">
        <v>384</v>
      </c>
      <c r="F91" s="20" t="s">
        <v>139</v>
      </c>
      <c r="G91" s="20" t="s">
        <v>395</v>
      </c>
      <c r="H91" s="20" t="s">
        <v>396</v>
      </c>
      <c r="I91" s="20" t="s">
        <v>139</v>
      </c>
      <c r="J91" s="20" t="s">
        <v>140</v>
      </c>
      <c r="K91" s="20" t="s">
        <v>397</v>
      </c>
    </row>
    <row r="92" customFormat="false" ht="35.05" hidden="false" customHeight="false" outlineLevel="0" collapsed="false">
      <c r="A92" s="20" t="s">
        <v>398</v>
      </c>
      <c r="B92" s="20" t="n">
        <v>3</v>
      </c>
      <c r="C92" s="20" t="s">
        <v>51</v>
      </c>
      <c r="D92" s="20" t="s">
        <v>52</v>
      </c>
      <c r="E92" s="20" t="s">
        <v>399</v>
      </c>
      <c r="F92" s="20" t="s">
        <v>156</v>
      </c>
      <c r="G92" s="20"/>
      <c r="H92" s="20"/>
      <c r="I92" s="20" t="s">
        <v>156</v>
      </c>
      <c r="J92" s="20" t="s">
        <v>157</v>
      </c>
      <c r="K92" s="20" t="s">
        <v>400</v>
      </c>
    </row>
    <row r="93" customFormat="false" ht="23.85" hidden="false" customHeight="false" outlineLevel="0" collapsed="false">
      <c r="A93" s="20" t="s">
        <v>401</v>
      </c>
      <c r="B93" s="20" t="n">
        <v>4</v>
      </c>
      <c r="C93" s="20" t="s">
        <v>51</v>
      </c>
      <c r="D93" s="20" t="s">
        <v>52</v>
      </c>
      <c r="E93" s="20" t="s">
        <v>399</v>
      </c>
      <c r="F93" s="20" t="s">
        <v>156</v>
      </c>
      <c r="G93" s="20" t="s">
        <v>402</v>
      </c>
      <c r="H93" s="20" t="s">
        <v>161</v>
      </c>
      <c r="I93" s="20" t="s">
        <v>156</v>
      </c>
      <c r="J93" s="20" t="s">
        <v>157</v>
      </c>
      <c r="K93" s="20" t="s">
        <v>403</v>
      </c>
    </row>
    <row r="94" customFormat="false" ht="35.05" hidden="false" customHeight="false" outlineLevel="0" collapsed="false">
      <c r="A94" s="20" t="s">
        <v>404</v>
      </c>
      <c r="B94" s="20" t="n">
        <v>3</v>
      </c>
      <c r="C94" s="20" t="s">
        <v>51</v>
      </c>
      <c r="D94" s="20" t="s">
        <v>52</v>
      </c>
      <c r="E94" s="20" t="s">
        <v>405</v>
      </c>
      <c r="F94" s="20" t="s">
        <v>165</v>
      </c>
      <c r="G94" s="20"/>
      <c r="H94" s="20"/>
      <c r="I94" s="20" t="s">
        <v>165</v>
      </c>
      <c r="J94" s="20" t="s">
        <v>166</v>
      </c>
      <c r="K94" s="20" t="s">
        <v>406</v>
      </c>
    </row>
    <row r="95" customFormat="false" ht="23.85" hidden="false" customHeight="false" outlineLevel="0" collapsed="false">
      <c r="A95" s="20" t="s">
        <v>407</v>
      </c>
      <c r="B95" s="20" t="n">
        <v>4</v>
      </c>
      <c r="C95" s="20" t="s">
        <v>51</v>
      </c>
      <c r="D95" s="20" t="s">
        <v>52</v>
      </c>
      <c r="E95" s="20" t="s">
        <v>405</v>
      </c>
      <c r="F95" s="20" t="s">
        <v>165</v>
      </c>
      <c r="G95" s="20" t="s">
        <v>408</v>
      </c>
      <c r="H95" s="20" t="s">
        <v>170</v>
      </c>
      <c r="I95" s="20" t="s">
        <v>165</v>
      </c>
      <c r="J95" s="20" t="s">
        <v>166</v>
      </c>
      <c r="K95" s="20" t="s">
        <v>409</v>
      </c>
    </row>
    <row r="96" customFormat="false" ht="23.85" hidden="false" customHeight="false" outlineLevel="0" collapsed="false">
      <c r="A96" s="20" t="s">
        <v>410</v>
      </c>
      <c r="B96" s="20" t="n">
        <v>4</v>
      </c>
      <c r="C96" s="20" t="s">
        <v>51</v>
      </c>
      <c r="D96" s="20" t="s">
        <v>52</v>
      </c>
      <c r="E96" s="20" t="s">
        <v>405</v>
      </c>
      <c r="F96" s="20" t="s">
        <v>165</v>
      </c>
      <c r="G96" s="20" t="s">
        <v>411</v>
      </c>
      <c r="H96" s="20" t="s">
        <v>174</v>
      </c>
      <c r="I96" s="20" t="s">
        <v>165</v>
      </c>
      <c r="J96" s="20" t="s">
        <v>166</v>
      </c>
      <c r="K96" s="20" t="s">
        <v>412</v>
      </c>
    </row>
    <row r="97" customFormat="false" ht="35.05" hidden="false" customHeight="false" outlineLevel="0" collapsed="false">
      <c r="A97" s="20" t="s">
        <v>413</v>
      </c>
      <c r="B97" s="20" t="n">
        <v>3</v>
      </c>
      <c r="C97" s="20" t="s">
        <v>54</v>
      </c>
      <c r="D97" s="20" t="s">
        <v>55</v>
      </c>
      <c r="E97" s="20" t="s">
        <v>414</v>
      </c>
      <c r="F97" s="20" t="s">
        <v>100</v>
      </c>
      <c r="G97" s="20"/>
      <c r="H97" s="20"/>
      <c r="I97" s="20" t="s">
        <v>100</v>
      </c>
      <c r="J97" s="20" t="s">
        <v>101</v>
      </c>
      <c r="K97" s="20" t="s">
        <v>415</v>
      </c>
    </row>
    <row r="98" customFormat="false" ht="23.85" hidden="false" customHeight="false" outlineLevel="0" collapsed="false">
      <c r="A98" s="20" t="s">
        <v>416</v>
      </c>
      <c r="B98" s="20" t="n">
        <v>4</v>
      </c>
      <c r="C98" s="20" t="s">
        <v>54</v>
      </c>
      <c r="D98" s="20" t="s">
        <v>55</v>
      </c>
      <c r="E98" s="20" t="s">
        <v>414</v>
      </c>
      <c r="F98" s="20" t="s">
        <v>100</v>
      </c>
      <c r="G98" s="20" t="s">
        <v>417</v>
      </c>
      <c r="H98" s="20" t="s">
        <v>105</v>
      </c>
      <c r="I98" s="20" t="s">
        <v>100</v>
      </c>
      <c r="J98" s="20" t="s">
        <v>101</v>
      </c>
      <c r="K98" s="20" t="s">
        <v>418</v>
      </c>
    </row>
    <row r="99" customFormat="false" ht="23.85" hidden="false" customHeight="false" outlineLevel="0" collapsed="false">
      <c r="A99" s="20" t="s">
        <v>419</v>
      </c>
      <c r="B99" s="20" t="n">
        <v>4</v>
      </c>
      <c r="C99" s="20" t="s">
        <v>54</v>
      </c>
      <c r="D99" s="20" t="s">
        <v>55</v>
      </c>
      <c r="E99" s="20" t="s">
        <v>414</v>
      </c>
      <c r="F99" s="20" t="s">
        <v>100</v>
      </c>
      <c r="G99" s="20" t="s">
        <v>420</v>
      </c>
      <c r="H99" s="20" t="s">
        <v>109</v>
      </c>
      <c r="I99" s="20" t="s">
        <v>100</v>
      </c>
      <c r="J99" s="20" t="s">
        <v>101</v>
      </c>
      <c r="K99" s="20" t="s">
        <v>421</v>
      </c>
    </row>
    <row r="100" customFormat="false" ht="35.05" hidden="false" customHeight="false" outlineLevel="0" collapsed="false">
      <c r="A100" s="20" t="s">
        <v>422</v>
      </c>
      <c r="B100" s="20" t="n">
        <v>3</v>
      </c>
      <c r="C100" s="20" t="s">
        <v>54</v>
      </c>
      <c r="D100" s="20" t="s">
        <v>55</v>
      </c>
      <c r="E100" s="20" t="s">
        <v>423</v>
      </c>
      <c r="F100" s="20" t="s">
        <v>113</v>
      </c>
      <c r="G100" s="20"/>
      <c r="H100" s="20"/>
      <c r="I100" s="20" t="s">
        <v>113</v>
      </c>
      <c r="J100" s="20" t="s">
        <v>114</v>
      </c>
      <c r="K100" s="20" t="s">
        <v>424</v>
      </c>
    </row>
    <row r="101" customFormat="false" ht="23.85" hidden="false" customHeight="false" outlineLevel="0" collapsed="false">
      <c r="A101" s="20" t="s">
        <v>425</v>
      </c>
      <c r="B101" s="20" t="n">
        <v>4</v>
      </c>
      <c r="C101" s="20" t="s">
        <v>54</v>
      </c>
      <c r="D101" s="20" t="s">
        <v>55</v>
      </c>
      <c r="E101" s="20" t="s">
        <v>423</v>
      </c>
      <c r="F101" s="20" t="s">
        <v>113</v>
      </c>
      <c r="G101" s="20" t="s">
        <v>426</v>
      </c>
      <c r="H101" s="20" t="s">
        <v>118</v>
      </c>
      <c r="I101" s="20" t="s">
        <v>113</v>
      </c>
      <c r="J101" s="20" t="s">
        <v>114</v>
      </c>
      <c r="K101" s="20" t="s">
        <v>427</v>
      </c>
    </row>
    <row r="102" customFormat="false" ht="23.85" hidden="false" customHeight="false" outlineLevel="0" collapsed="false">
      <c r="A102" s="20" t="s">
        <v>428</v>
      </c>
      <c r="B102" s="20" t="n">
        <v>4</v>
      </c>
      <c r="C102" s="20" t="s">
        <v>54</v>
      </c>
      <c r="D102" s="20" t="s">
        <v>55</v>
      </c>
      <c r="E102" s="20" t="s">
        <v>423</v>
      </c>
      <c r="F102" s="20" t="s">
        <v>113</v>
      </c>
      <c r="G102" s="20" t="s">
        <v>429</v>
      </c>
      <c r="H102" s="20" t="s">
        <v>122</v>
      </c>
      <c r="I102" s="20" t="s">
        <v>113</v>
      </c>
      <c r="J102" s="20" t="s">
        <v>114</v>
      </c>
      <c r="K102" s="20" t="s">
        <v>430</v>
      </c>
    </row>
    <row r="103" customFormat="false" ht="23.85" hidden="false" customHeight="false" outlineLevel="0" collapsed="false">
      <c r="A103" s="20" t="s">
        <v>431</v>
      </c>
      <c r="B103" s="20" t="n">
        <v>3</v>
      </c>
      <c r="C103" s="20" t="s">
        <v>54</v>
      </c>
      <c r="D103" s="20" t="s">
        <v>55</v>
      </c>
      <c r="E103" s="20" t="s">
        <v>432</v>
      </c>
      <c r="F103" s="20" t="s">
        <v>126</v>
      </c>
      <c r="G103" s="20"/>
      <c r="H103" s="20"/>
      <c r="I103" s="20" t="s">
        <v>126</v>
      </c>
      <c r="J103" s="20" t="s">
        <v>127</v>
      </c>
      <c r="K103" s="20" t="s">
        <v>433</v>
      </c>
    </row>
    <row r="104" customFormat="false" ht="23.85" hidden="false" customHeight="false" outlineLevel="0" collapsed="false">
      <c r="A104" s="20" t="s">
        <v>434</v>
      </c>
      <c r="B104" s="20" t="n">
        <v>4</v>
      </c>
      <c r="C104" s="20" t="s">
        <v>54</v>
      </c>
      <c r="D104" s="20" t="s">
        <v>55</v>
      </c>
      <c r="E104" s="20" t="s">
        <v>432</v>
      </c>
      <c r="F104" s="20" t="s">
        <v>126</v>
      </c>
      <c r="G104" s="20" t="s">
        <v>435</v>
      </c>
      <c r="H104" s="20" t="s">
        <v>131</v>
      </c>
      <c r="I104" s="20" t="s">
        <v>126</v>
      </c>
      <c r="J104" s="20" t="s">
        <v>127</v>
      </c>
      <c r="K104" s="20" t="s">
        <v>436</v>
      </c>
    </row>
    <row r="105" customFormat="false" ht="23.85" hidden="false" customHeight="false" outlineLevel="0" collapsed="false">
      <c r="A105" s="20" t="s">
        <v>437</v>
      </c>
      <c r="B105" s="20" t="n">
        <v>4</v>
      </c>
      <c r="C105" s="20" t="s">
        <v>54</v>
      </c>
      <c r="D105" s="20" t="s">
        <v>55</v>
      </c>
      <c r="E105" s="20" t="s">
        <v>432</v>
      </c>
      <c r="F105" s="20" t="s">
        <v>126</v>
      </c>
      <c r="G105" s="20" t="s">
        <v>438</v>
      </c>
      <c r="H105" s="20" t="s">
        <v>135</v>
      </c>
      <c r="I105" s="20" t="s">
        <v>126</v>
      </c>
      <c r="J105" s="20" t="s">
        <v>127</v>
      </c>
      <c r="K105" s="20" t="s">
        <v>439</v>
      </c>
    </row>
    <row r="106" customFormat="false" ht="23.85" hidden="false" customHeight="false" outlineLevel="0" collapsed="false">
      <c r="A106" s="20" t="s">
        <v>440</v>
      </c>
      <c r="B106" s="20" t="n">
        <v>3</v>
      </c>
      <c r="C106" s="20" t="s">
        <v>54</v>
      </c>
      <c r="D106" s="20" t="s">
        <v>55</v>
      </c>
      <c r="E106" s="20" t="s">
        <v>441</v>
      </c>
      <c r="F106" s="20" t="s">
        <v>139</v>
      </c>
      <c r="G106" s="20"/>
      <c r="H106" s="20"/>
      <c r="I106" s="20" t="s">
        <v>139</v>
      </c>
      <c r="J106" s="20" t="s">
        <v>140</v>
      </c>
      <c r="K106" s="20" t="s">
        <v>442</v>
      </c>
    </row>
    <row r="107" customFormat="false" ht="23.85" hidden="false" customHeight="false" outlineLevel="0" collapsed="false">
      <c r="A107" s="20" t="s">
        <v>443</v>
      </c>
      <c r="B107" s="20" t="n">
        <v>4</v>
      </c>
      <c r="C107" s="20" t="s">
        <v>54</v>
      </c>
      <c r="D107" s="20" t="s">
        <v>55</v>
      </c>
      <c r="E107" s="20" t="s">
        <v>441</v>
      </c>
      <c r="F107" s="20" t="s">
        <v>139</v>
      </c>
      <c r="G107" s="20" t="s">
        <v>444</v>
      </c>
      <c r="H107" s="20" t="s">
        <v>445</v>
      </c>
      <c r="I107" s="20" t="s">
        <v>139</v>
      </c>
      <c r="J107" s="20" t="s">
        <v>140</v>
      </c>
      <c r="K107" s="20" t="s">
        <v>446</v>
      </c>
    </row>
    <row r="108" customFormat="false" ht="23.85" hidden="false" customHeight="false" outlineLevel="0" collapsed="false">
      <c r="A108" s="20" t="s">
        <v>447</v>
      </c>
      <c r="B108" s="20" t="n">
        <v>4</v>
      </c>
      <c r="C108" s="20" t="s">
        <v>54</v>
      </c>
      <c r="D108" s="20" t="s">
        <v>55</v>
      </c>
      <c r="E108" s="20" t="s">
        <v>441</v>
      </c>
      <c r="F108" s="20" t="s">
        <v>139</v>
      </c>
      <c r="G108" s="20" t="s">
        <v>448</v>
      </c>
      <c r="H108" s="20" t="s">
        <v>449</v>
      </c>
      <c r="I108" s="20" t="s">
        <v>139</v>
      </c>
      <c r="J108" s="20" t="s">
        <v>140</v>
      </c>
      <c r="K108" s="20" t="s">
        <v>450</v>
      </c>
    </row>
    <row r="109" customFormat="false" ht="23.85" hidden="false" customHeight="false" outlineLevel="0" collapsed="false">
      <c r="A109" s="20" t="s">
        <v>451</v>
      </c>
      <c r="B109" s="20" t="n">
        <v>4</v>
      </c>
      <c r="C109" s="20" t="s">
        <v>54</v>
      </c>
      <c r="D109" s="20" t="s">
        <v>55</v>
      </c>
      <c r="E109" s="20" t="s">
        <v>441</v>
      </c>
      <c r="F109" s="20" t="s">
        <v>139</v>
      </c>
      <c r="G109" s="20" t="s">
        <v>452</v>
      </c>
      <c r="H109" s="20" t="s">
        <v>453</v>
      </c>
      <c r="I109" s="20" t="s">
        <v>139</v>
      </c>
      <c r="J109" s="20" t="s">
        <v>140</v>
      </c>
      <c r="K109" s="20" t="s">
        <v>454</v>
      </c>
    </row>
    <row r="110" customFormat="false" ht="35.05" hidden="false" customHeight="false" outlineLevel="0" collapsed="false">
      <c r="A110" s="20" t="s">
        <v>455</v>
      </c>
      <c r="B110" s="20" t="n">
        <v>3</v>
      </c>
      <c r="C110" s="20" t="s">
        <v>54</v>
      </c>
      <c r="D110" s="20" t="s">
        <v>55</v>
      </c>
      <c r="E110" s="20" t="s">
        <v>456</v>
      </c>
      <c r="F110" s="20" t="s">
        <v>156</v>
      </c>
      <c r="G110" s="20"/>
      <c r="H110" s="20"/>
      <c r="I110" s="20" t="s">
        <v>156</v>
      </c>
      <c r="J110" s="20" t="s">
        <v>157</v>
      </c>
      <c r="K110" s="20" t="s">
        <v>457</v>
      </c>
    </row>
    <row r="111" customFormat="false" ht="23.85" hidden="false" customHeight="false" outlineLevel="0" collapsed="false">
      <c r="A111" s="20" t="s">
        <v>458</v>
      </c>
      <c r="B111" s="20" t="n">
        <v>4</v>
      </c>
      <c r="C111" s="20" t="s">
        <v>54</v>
      </c>
      <c r="D111" s="20" t="s">
        <v>55</v>
      </c>
      <c r="E111" s="20" t="s">
        <v>456</v>
      </c>
      <c r="F111" s="20" t="s">
        <v>156</v>
      </c>
      <c r="G111" s="20" t="s">
        <v>459</v>
      </c>
      <c r="H111" s="20" t="s">
        <v>161</v>
      </c>
      <c r="I111" s="20" t="s">
        <v>156</v>
      </c>
      <c r="J111" s="20" t="s">
        <v>157</v>
      </c>
      <c r="K111" s="20" t="s">
        <v>460</v>
      </c>
    </row>
    <row r="112" customFormat="false" ht="35.05" hidden="false" customHeight="false" outlineLevel="0" collapsed="false">
      <c r="A112" s="20" t="s">
        <v>461</v>
      </c>
      <c r="B112" s="20" t="n">
        <v>3</v>
      </c>
      <c r="C112" s="20" t="s">
        <v>54</v>
      </c>
      <c r="D112" s="20" t="s">
        <v>55</v>
      </c>
      <c r="E112" s="20" t="s">
        <v>462</v>
      </c>
      <c r="F112" s="20" t="s">
        <v>165</v>
      </c>
      <c r="G112" s="20"/>
      <c r="H112" s="20"/>
      <c r="I112" s="20" t="s">
        <v>165</v>
      </c>
      <c r="J112" s="20" t="s">
        <v>166</v>
      </c>
      <c r="K112" s="20" t="s">
        <v>463</v>
      </c>
    </row>
    <row r="113" customFormat="false" ht="23.85" hidden="false" customHeight="false" outlineLevel="0" collapsed="false">
      <c r="A113" s="20" t="s">
        <v>464</v>
      </c>
      <c r="B113" s="20" t="n">
        <v>4</v>
      </c>
      <c r="C113" s="20" t="s">
        <v>54</v>
      </c>
      <c r="D113" s="20" t="s">
        <v>55</v>
      </c>
      <c r="E113" s="20" t="s">
        <v>462</v>
      </c>
      <c r="F113" s="20" t="s">
        <v>165</v>
      </c>
      <c r="G113" s="20" t="s">
        <v>465</v>
      </c>
      <c r="H113" s="20" t="s">
        <v>170</v>
      </c>
      <c r="I113" s="20" t="s">
        <v>165</v>
      </c>
      <c r="J113" s="20" t="s">
        <v>166</v>
      </c>
      <c r="K113" s="20" t="s">
        <v>466</v>
      </c>
    </row>
    <row r="114" customFormat="false" ht="23.85" hidden="false" customHeight="false" outlineLevel="0" collapsed="false">
      <c r="A114" s="20" t="s">
        <v>467</v>
      </c>
      <c r="B114" s="20" t="n">
        <v>4</v>
      </c>
      <c r="C114" s="20" t="s">
        <v>54</v>
      </c>
      <c r="D114" s="20" t="s">
        <v>55</v>
      </c>
      <c r="E114" s="20" t="s">
        <v>462</v>
      </c>
      <c r="F114" s="20" t="s">
        <v>165</v>
      </c>
      <c r="G114" s="20" t="s">
        <v>468</v>
      </c>
      <c r="H114" s="20" t="s">
        <v>174</v>
      </c>
      <c r="I114" s="20" t="s">
        <v>165</v>
      </c>
      <c r="J114" s="20" t="s">
        <v>166</v>
      </c>
      <c r="K114" s="20" t="s">
        <v>469</v>
      </c>
    </row>
    <row r="115" customFormat="false" ht="35.05" hidden="false" customHeight="false" outlineLevel="0" collapsed="false">
      <c r="A115" s="20" t="s">
        <v>470</v>
      </c>
      <c r="B115" s="20" t="n">
        <v>3</v>
      </c>
      <c r="C115" s="20" t="s">
        <v>58</v>
      </c>
      <c r="D115" s="20" t="s">
        <v>59</v>
      </c>
      <c r="E115" s="20" t="s">
        <v>471</v>
      </c>
      <c r="F115" s="20" t="s">
        <v>100</v>
      </c>
      <c r="G115" s="20"/>
      <c r="H115" s="20"/>
      <c r="I115" s="20" t="s">
        <v>100</v>
      </c>
      <c r="J115" s="20" t="s">
        <v>101</v>
      </c>
      <c r="K115" s="20" t="s">
        <v>472</v>
      </c>
    </row>
    <row r="116" customFormat="false" ht="23.85" hidden="false" customHeight="false" outlineLevel="0" collapsed="false">
      <c r="A116" s="20" t="s">
        <v>473</v>
      </c>
      <c r="B116" s="20" t="n">
        <v>4</v>
      </c>
      <c r="C116" s="20" t="s">
        <v>58</v>
      </c>
      <c r="D116" s="20" t="s">
        <v>59</v>
      </c>
      <c r="E116" s="20" t="s">
        <v>471</v>
      </c>
      <c r="F116" s="20" t="s">
        <v>100</v>
      </c>
      <c r="G116" s="20" t="s">
        <v>474</v>
      </c>
      <c r="H116" s="20" t="s">
        <v>105</v>
      </c>
      <c r="I116" s="20" t="s">
        <v>100</v>
      </c>
      <c r="J116" s="20" t="s">
        <v>101</v>
      </c>
      <c r="K116" s="20" t="s">
        <v>475</v>
      </c>
    </row>
    <row r="117" customFormat="false" ht="23.85" hidden="false" customHeight="false" outlineLevel="0" collapsed="false">
      <c r="A117" s="20" t="s">
        <v>476</v>
      </c>
      <c r="B117" s="20" t="n">
        <v>4</v>
      </c>
      <c r="C117" s="20" t="s">
        <v>58</v>
      </c>
      <c r="D117" s="20" t="s">
        <v>59</v>
      </c>
      <c r="E117" s="20" t="s">
        <v>471</v>
      </c>
      <c r="F117" s="20" t="s">
        <v>100</v>
      </c>
      <c r="G117" s="20" t="s">
        <v>477</v>
      </c>
      <c r="H117" s="20" t="s">
        <v>109</v>
      </c>
      <c r="I117" s="20" t="s">
        <v>100</v>
      </c>
      <c r="J117" s="20" t="s">
        <v>101</v>
      </c>
      <c r="K117" s="20" t="s">
        <v>478</v>
      </c>
    </row>
    <row r="118" customFormat="false" ht="35.05" hidden="false" customHeight="false" outlineLevel="0" collapsed="false">
      <c r="A118" s="20" t="s">
        <v>479</v>
      </c>
      <c r="B118" s="20" t="n">
        <v>3</v>
      </c>
      <c r="C118" s="20" t="s">
        <v>58</v>
      </c>
      <c r="D118" s="20" t="s">
        <v>59</v>
      </c>
      <c r="E118" s="20" t="s">
        <v>480</v>
      </c>
      <c r="F118" s="20" t="s">
        <v>113</v>
      </c>
      <c r="G118" s="20"/>
      <c r="H118" s="20"/>
      <c r="I118" s="20" t="s">
        <v>113</v>
      </c>
      <c r="J118" s="20" t="s">
        <v>114</v>
      </c>
      <c r="K118" s="20" t="s">
        <v>481</v>
      </c>
    </row>
    <row r="119" customFormat="false" ht="23.85" hidden="false" customHeight="false" outlineLevel="0" collapsed="false">
      <c r="A119" s="20" t="s">
        <v>482</v>
      </c>
      <c r="B119" s="20" t="n">
        <v>4</v>
      </c>
      <c r="C119" s="20" t="s">
        <v>58</v>
      </c>
      <c r="D119" s="20" t="s">
        <v>59</v>
      </c>
      <c r="E119" s="20" t="s">
        <v>480</v>
      </c>
      <c r="F119" s="20" t="s">
        <v>113</v>
      </c>
      <c r="G119" s="20" t="s">
        <v>483</v>
      </c>
      <c r="H119" s="20" t="s">
        <v>118</v>
      </c>
      <c r="I119" s="20" t="s">
        <v>113</v>
      </c>
      <c r="J119" s="20" t="s">
        <v>114</v>
      </c>
      <c r="K119" s="20" t="s">
        <v>484</v>
      </c>
    </row>
    <row r="120" customFormat="false" ht="23.85" hidden="false" customHeight="false" outlineLevel="0" collapsed="false">
      <c r="A120" s="20" t="s">
        <v>485</v>
      </c>
      <c r="B120" s="20" t="n">
        <v>4</v>
      </c>
      <c r="C120" s="20" t="s">
        <v>58</v>
      </c>
      <c r="D120" s="20" t="s">
        <v>59</v>
      </c>
      <c r="E120" s="20" t="s">
        <v>480</v>
      </c>
      <c r="F120" s="20" t="s">
        <v>113</v>
      </c>
      <c r="G120" s="20" t="s">
        <v>486</v>
      </c>
      <c r="H120" s="20" t="s">
        <v>122</v>
      </c>
      <c r="I120" s="20" t="s">
        <v>113</v>
      </c>
      <c r="J120" s="20" t="s">
        <v>114</v>
      </c>
      <c r="K120" s="20" t="s">
        <v>487</v>
      </c>
    </row>
    <row r="121" customFormat="false" ht="35.05" hidden="false" customHeight="false" outlineLevel="0" collapsed="false">
      <c r="A121" s="20" t="s">
        <v>488</v>
      </c>
      <c r="B121" s="20" t="n">
        <v>3</v>
      </c>
      <c r="C121" s="20" t="s">
        <v>58</v>
      </c>
      <c r="D121" s="20" t="s">
        <v>59</v>
      </c>
      <c r="E121" s="20" t="s">
        <v>489</v>
      </c>
      <c r="F121" s="20" t="s">
        <v>126</v>
      </c>
      <c r="G121" s="20"/>
      <c r="H121" s="20"/>
      <c r="I121" s="20" t="s">
        <v>126</v>
      </c>
      <c r="J121" s="20" t="s">
        <v>127</v>
      </c>
      <c r="K121" s="20" t="s">
        <v>490</v>
      </c>
    </row>
    <row r="122" customFormat="false" ht="23.85" hidden="false" customHeight="false" outlineLevel="0" collapsed="false">
      <c r="A122" s="20" t="s">
        <v>491</v>
      </c>
      <c r="B122" s="20" t="n">
        <v>4</v>
      </c>
      <c r="C122" s="20" t="s">
        <v>58</v>
      </c>
      <c r="D122" s="20" t="s">
        <v>59</v>
      </c>
      <c r="E122" s="20" t="s">
        <v>489</v>
      </c>
      <c r="F122" s="20" t="s">
        <v>126</v>
      </c>
      <c r="G122" s="20" t="s">
        <v>492</v>
      </c>
      <c r="H122" s="20" t="s">
        <v>131</v>
      </c>
      <c r="I122" s="20" t="s">
        <v>126</v>
      </c>
      <c r="J122" s="20" t="s">
        <v>127</v>
      </c>
      <c r="K122" s="20" t="s">
        <v>493</v>
      </c>
    </row>
    <row r="123" customFormat="false" ht="23.85" hidden="false" customHeight="false" outlineLevel="0" collapsed="false">
      <c r="A123" s="20" t="s">
        <v>494</v>
      </c>
      <c r="B123" s="20" t="n">
        <v>4</v>
      </c>
      <c r="C123" s="20" t="s">
        <v>58</v>
      </c>
      <c r="D123" s="20" t="s">
        <v>59</v>
      </c>
      <c r="E123" s="20" t="s">
        <v>489</v>
      </c>
      <c r="F123" s="20" t="s">
        <v>126</v>
      </c>
      <c r="G123" s="20" t="s">
        <v>495</v>
      </c>
      <c r="H123" s="20" t="s">
        <v>135</v>
      </c>
      <c r="I123" s="20" t="s">
        <v>126</v>
      </c>
      <c r="J123" s="20" t="s">
        <v>127</v>
      </c>
      <c r="K123" s="20" t="s">
        <v>496</v>
      </c>
    </row>
    <row r="124" customFormat="false" ht="35.05" hidden="false" customHeight="false" outlineLevel="0" collapsed="false">
      <c r="A124" s="20" t="s">
        <v>497</v>
      </c>
      <c r="B124" s="20" t="n">
        <v>3</v>
      </c>
      <c r="C124" s="20" t="s">
        <v>58</v>
      </c>
      <c r="D124" s="20" t="s">
        <v>59</v>
      </c>
      <c r="E124" s="20" t="s">
        <v>498</v>
      </c>
      <c r="F124" s="20" t="s">
        <v>139</v>
      </c>
      <c r="G124" s="20"/>
      <c r="H124" s="20"/>
      <c r="I124" s="20" t="s">
        <v>139</v>
      </c>
      <c r="J124" s="20" t="s">
        <v>140</v>
      </c>
      <c r="K124" s="20" t="s">
        <v>499</v>
      </c>
    </row>
    <row r="125" customFormat="false" ht="23.85" hidden="false" customHeight="false" outlineLevel="0" collapsed="false">
      <c r="A125" s="20" t="s">
        <v>500</v>
      </c>
      <c r="B125" s="20" t="n">
        <v>4</v>
      </c>
      <c r="C125" s="20" t="s">
        <v>58</v>
      </c>
      <c r="D125" s="20" t="s">
        <v>59</v>
      </c>
      <c r="E125" s="20" t="s">
        <v>498</v>
      </c>
      <c r="F125" s="20" t="s">
        <v>139</v>
      </c>
      <c r="G125" s="20" t="s">
        <v>501</v>
      </c>
      <c r="H125" s="20" t="s">
        <v>502</v>
      </c>
      <c r="I125" s="20" t="s">
        <v>139</v>
      </c>
      <c r="J125" s="20" t="s">
        <v>140</v>
      </c>
      <c r="K125" s="20" t="s">
        <v>503</v>
      </c>
    </row>
    <row r="126" customFormat="false" ht="23.85" hidden="false" customHeight="false" outlineLevel="0" collapsed="false">
      <c r="A126" s="20" t="s">
        <v>504</v>
      </c>
      <c r="B126" s="20" t="n">
        <v>4</v>
      </c>
      <c r="C126" s="20" t="s">
        <v>58</v>
      </c>
      <c r="D126" s="20" t="s">
        <v>59</v>
      </c>
      <c r="E126" s="20" t="s">
        <v>498</v>
      </c>
      <c r="F126" s="20" t="s">
        <v>139</v>
      </c>
      <c r="G126" s="20" t="s">
        <v>505</v>
      </c>
      <c r="H126" s="20" t="s">
        <v>506</v>
      </c>
      <c r="I126" s="20" t="s">
        <v>139</v>
      </c>
      <c r="J126" s="20" t="s">
        <v>140</v>
      </c>
      <c r="K126" s="20" t="s">
        <v>507</v>
      </c>
    </row>
    <row r="127" customFormat="false" ht="23.85" hidden="false" customHeight="false" outlineLevel="0" collapsed="false">
      <c r="A127" s="20" t="s">
        <v>508</v>
      </c>
      <c r="B127" s="20" t="n">
        <v>4</v>
      </c>
      <c r="C127" s="20" t="s">
        <v>58</v>
      </c>
      <c r="D127" s="20" t="s">
        <v>59</v>
      </c>
      <c r="E127" s="20" t="s">
        <v>498</v>
      </c>
      <c r="F127" s="20" t="s">
        <v>139</v>
      </c>
      <c r="G127" s="20" t="s">
        <v>509</v>
      </c>
      <c r="H127" s="20" t="s">
        <v>510</v>
      </c>
      <c r="I127" s="20" t="s">
        <v>139</v>
      </c>
      <c r="J127" s="20" t="s">
        <v>140</v>
      </c>
      <c r="K127" s="20" t="s">
        <v>511</v>
      </c>
    </row>
    <row r="128" customFormat="false" ht="35.05" hidden="false" customHeight="false" outlineLevel="0" collapsed="false">
      <c r="A128" s="20" t="s">
        <v>512</v>
      </c>
      <c r="B128" s="20" t="n">
        <v>3</v>
      </c>
      <c r="C128" s="20" t="s">
        <v>58</v>
      </c>
      <c r="D128" s="20" t="s">
        <v>59</v>
      </c>
      <c r="E128" s="20" t="s">
        <v>513</v>
      </c>
      <c r="F128" s="20" t="s">
        <v>156</v>
      </c>
      <c r="G128" s="20"/>
      <c r="H128" s="20"/>
      <c r="I128" s="20" t="s">
        <v>156</v>
      </c>
      <c r="J128" s="20" t="s">
        <v>157</v>
      </c>
      <c r="K128" s="20" t="s">
        <v>514</v>
      </c>
    </row>
    <row r="129" customFormat="false" ht="23.85" hidden="false" customHeight="false" outlineLevel="0" collapsed="false">
      <c r="A129" s="20" t="s">
        <v>515</v>
      </c>
      <c r="B129" s="20" t="n">
        <v>4</v>
      </c>
      <c r="C129" s="20" t="s">
        <v>58</v>
      </c>
      <c r="D129" s="20" t="s">
        <v>59</v>
      </c>
      <c r="E129" s="20" t="s">
        <v>513</v>
      </c>
      <c r="F129" s="20" t="s">
        <v>156</v>
      </c>
      <c r="G129" s="20" t="s">
        <v>516</v>
      </c>
      <c r="H129" s="20" t="s">
        <v>161</v>
      </c>
      <c r="I129" s="20" t="s">
        <v>156</v>
      </c>
      <c r="J129" s="20" t="s">
        <v>157</v>
      </c>
      <c r="K129" s="20" t="s">
        <v>517</v>
      </c>
    </row>
    <row r="130" customFormat="false" ht="35.05" hidden="false" customHeight="false" outlineLevel="0" collapsed="false">
      <c r="A130" s="20" t="s">
        <v>518</v>
      </c>
      <c r="B130" s="20" t="n">
        <v>3</v>
      </c>
      <c r="C130" s="20" t="s">
        <v>58</v>
      </c>
      <c r="D130" s="20" t="s">
        <v>59</v>
      </c>
      <c r="E130" s="20" t="s">
        <v>519</v>
      </c>
      <c r="F130" s="20" t="s">
        <v>165</v>
      </c>
      <c r="G130" s="20"/>
      <c r="H130" s="20"/>
      <c r="I130" s="20" t="s">
        <v>165</v>
      </c>
      <c r="J130" s="20" t="s">
        <v>166</v>
      </c>
      <c r="K130" s="20" t="s">
        <v>520</v>
      </c>
    </row>
    <row r="131" customFormat="false" ht="23.85" hidden="false" customHeight="false" outlineLevel="0" collapsed="false">
      <c r="A131" s="20" t="s">
        <v>521</v>
      </c>
      <c r="B131" s="20" t="n">
        <v>4</v>
      </c>
      <c r="C131" s="20" t="s">
        <v>58</v>
      </c>
      <c r="D131" s="20" t="s">
        <v>59</v>
      </c>
      <c r="E131" s="20" t="s">
        <v>519</v>
      </c>
      <c r="F131" s="20" t="s">
        <v>165</v>
      </c>
      <c r="G131" s="20" t="s">
        <v>522</v>
      </c>
      <c r="H131" s="20" t="s">
        <v>170</v>
      </c>
      <c r="I131" s="20" t="s">
        <v>165</v>
      </c>
      <c r="J131" s="20" t="s">
        <v>166</v>
      </c>
      <c r="K131" s="20" t="s">
        <v>523</v>
      </c>
    </row>
    <row r="132" customFormat="false" ht="23.85" hidden="false" customHeight="false" outlineLevel="0" collapsed="false">
      <c r="A132" s="20" t="s">
        <v>524</v>
      </c>
      <c r="B132" s="20" t="n">
        <v>4</v>
      </c>
      <c r="C132" s="20" t="s">
        <v>58</v>
      </c>
      <c r="D132" s="20" t="s">
        <v>59</v>
      </c>
      <c r="E132" s="20" t="s">
        <v>519</v>
      </c>
      <c r="F132" s="20" t="s">
        <v>165</v>
      </c>
      <c r="G132" s="20" t="s">
        <v>525</v>
      </c>
      <c r="H132" s="20" t="s">
        <v>174</v>
      </c>
      <c r="I132" s="20" t="s">
        <v>165</v>
      </c>
      <c r="J132" s="20" t="s">
        <v>166</v>
      </c>
      <c r="K132" s="20" t="s">
        <v>526</v>
      </c>
    </row>
    <row r="133" customFormat="false" ht="35.05" hidden="false" customHeight="false" outlineLevel="0" collapsed="false">
      <c r="A133" s="20" t="s">
        <v>527</v>
      </c>
      <c r="B133" s="20" t="n">
        <v>3</v>
      </c>
      <c r="C133" s="20" t="s">
        <v>61</v>
      </c>
      <c r="D133" s="20" t="s">
        <v>62</v>
      </c>
      <c r="E133" s="20" t="s">
        <v>528</v>
      </c>
      <c r="F133" s="20" t="s">
        <v>100</v>
      </c>
      <c r="G133" s="20"/>
      <c r="H133" s="20"/>
      <c r="I133" s="20" t="s">
        <v>100</v>
      </c>
      <c r="J133" s="20" t="s">
        <v>101</v>
      </c>
      <c r="K133" s="20" t="s">
        <v>529</v>
      </c>
    </row>
    <row r="134" customFormat="false" ht="23.85" hidden="false" customHeight="false" outlineLevel="0" collapsed="false">
      <c r="A134" s="20" t="s">
        <v>530</v>
      </c>
      <c r="B134" s="20" t="n">
        <v>4</v>
      </c>
      <c r="C134" s="20" t="s">
        <v>61</v>
      </c>
      <c r="D134" s="20" t="s">
        <v>62</v>
      </c>
      <c r="E134" s="20" t="s">
        <v>528</v>
      </c>
      <c r="F134" s="20" t="s">
        <v>100</v>
      </c>
      <c r="G134" s="20" t="s">
        <v>531</v>
      </c>
      <c r="H134" s="20" t="s">
        <v>105</v>
      </c>
      <c r="I134" s="20" t="s">
        <v>100</v>
      </c>
      <c r="J134" s="20" t="s">
        <v>101</v>
      </c>
      <c r="K134" s="20" t="s">
        <v>532</v>
      </c>
    </row>
    <row r="135" customFormat="false" ht="23.85" hidden="false" customHeight="false" outlineLevel="0" collapsed="false">
      <c r="A135" s="20" t="s">
        <v>533</v>
      </c>
      <c r="B135" s="20" t="n">
        <v>4</v>
      </c>
      <c r="C135" s="20" t="s">
        <v>61</v>
      </c>
      <c r="D135" s="20" t="s">
        <v>62</v>
      </c>
      <c r="E135" s="20" t="s">
        <v>528</v>
      </c>
      <c r="F135" s="20" t="s">
        <v>100</v>
      </c>
      <c r="G135" s="20" t="s">
        <v>534</v>
      </c>
      <c r="H135" s="20" t="s">
        <v>109</v>
      </c>
      <c r="I135" s="20" t="s">
        <v>100</v>
      </c>
      <c r="J135" s="20" t="s">
        <v>101</v>
      </c>
      <c r="K135" s="20" t="s">
        <v>535</v>
      </c>
    </row>
    <row r="136" customFormat="false" ht="35.05" hidden="false" customHeight="false" outlineLevel="0" collapsed="false">
      <c r="A136" s="20" t="s">
        <v>536</v>
      </c>
      <c r="B136" s="20" t="n">
        <v>3</v>
      </c>
      <c r="C136" s="20" t="s">
        <v>61</v>
      </c>
      <c r="D136" s="20" t="s">
        <v>62</v>
      </c>
      <c r="E136" s="20" t="s">
        <v>537</v>
      </c>
      <c r="F136" s="20" t="s">
        <v>113</v>
      </c>
      <c r="G136" s="20"/>
      <c r="H136" s="20"/>
      <c r="I136" s="20" t="s">
        <v>113</v>
      </c>
      <c r="J136" s="20" t="s">
        <v>114</v>
      </c>
      <c r="K136" s="20" t="s">
        <v>538</v>
      </c>
    </row>
    <row r="137" customFormat="false" ht="23.85" hidden="false" customHeight="false" outlineLevel="0" collapsed="false">
      <c r="A137" s="20" t="s">
        <v>539</v>
      </c>
      <c r="B137" s="20" t="n">
        <v>4</v>
      </c>
      <c r="C137" s="20" t="s">
        <v>61</v>
      </c>
      <c r="D137" s="20" t="s">
        <v>62</v>
      </c>
      <c r="E137" s="20" t="s">
        <v>537</v>
      </c>
      <c r="F137" s="20" t="s">
        <v>113</v>
      </c>
      <c r="G137" s="20" t="s">
        <v>540</v>
      </c>
      <c r="H137" s="20" t="s">
        <v>118</v>
      </c>
      <c r="I137" s="20" t="s">
        <v>113</v>
      </c>
      <c r="J137" s="20" t="s">
        <v>114</v>
      </c>
      <c r="K137" s="20" t="s">
        <v>541</v>
      </c>
    </row>
    <row r="138" customFormat="false" ht="23.85" hidden="false" customHeight="false" outlineLevel="0" collapsed="false">
      <c r="A138" s="20" t="s">
        <v>542</v>
      </c>
      <c r="B138" s="20" t="n">
        <v>4</v>
      </c>
      <c r="C138" s="20" t="s">
        <v>61</v>
      </c>
      <c r="D138" s="20" t="s">
        <v>62</v>
      </c>
      <c r="E138" s="20" t="s">
        <v>537</v>
      </c>
      <c r="F138" s="20" t="s">
        <v>113</v>
      </c>
      <c r="G138" s="20" t="s">
        <v>543</v>
      </c>
      <c r="H138" s="20" t="s">
        <v>122</v>
      </c>
      <c r="I138" s="20" t="s">
        <v>113</v>
      </c>
      <c r="J138" s="20" t="s">
        <v>114</v>
      </c>
      <c r="K138" s="20" t="s">
        <v>544</v>
      </c>
    </row>
    <row r="139" customFormat="false" ht="35.05" hidden="false" customHeight="false" outlineLevel="0" collapsed="false">
      <c r="A139" s="20" t="s">
        <v>545</v>
      </c>
      <c r="B139" s="20" t="n">
        <v>3</v>
      </c>
      <c r="C139" s="20" t="s">
        <v>61</v>
      </c>
      <c r="D139" s="20" t="s">
        <v>62</v>
      </c>
      <c r="E139" s="20" t="s">
        <v>546</v>
      </c>
      <c r="F139" s="20" t="s">
        <v>126</v>
      </c>
      <c r="G139" s="20"/>
      <c r="H139" s="20"/>
      <c r="I139" s="20" t="s">
        <v>126</v>
      </c>
      <c r="J139" s="20" t="s">
        <v>127</v>
      </c>
      <c r="K139" s="20" t="s">
        <v>547</v>
      </c>
    </row>
    <row r="140" customFormat="false" ht="23.85" hidden="false" customHeight="false" outlineLevel="0" collapsed="false">
      <c r="A140" s="20" t="s">
        <v>548</v>
      </c>
      <c r="B140" s="20" t="n">
        <v>4</v>
      </c>
      <c r="C140" s="20" t="s">
        <v>61</v>
      </c>
      <c r="D140" s="20" t="s">
        <v>62</v>
      </c>
      <c r="E140" s="20" t="s">
        <v>546</v>
      </c>
      <c r="F140" s="20" t="s">
        <v>126</v>
      </c>
      <c r="G140" s="20" t="s">
        <v>549</v>
      </c>
      <c r="H140" s="20" t="s">
        <v>131</v>
      </c>
      <c r="I140" s="20" t="s">
        <v>126</v>
      </c>
      <c r="J140" s="20" t="s">
        <v>127</v>
      </c>
      <c r="K140" s="20" t="s">
        <v>550</v>
      </c>
    </row>
    <row r="141" customFormat="false" ht="23.85" hidden="false" customHeight="false" outlineLevel="0" collapsed="false">
      <c r="A141" s="20" t="s">
        <v>551</v>
      </c>
      <c r="B141" s="20" t="n">
        <v>4</v>
      </c>
      <c r="C141" s="20" t="s">
        <v>61</v>
      </c>
      <c r="D141" s="20" t="s">
        <v>62</v>
      </c>
      <c r="E141" s="20" t="s">
        <v>546</v>
      </c>
      <c r="F141" s="20" t="s">
        <v>126</v>
      </c>
      <c r="G141" s="20" t="s">
        <v>552</v>
      </c>
      <c r="H141" s="20" t="s">
        <v>135</v>
      </c>
      <c r="I141" s="20" t="s">
        <v>126</v>
      </c>
      <c r="J141" s="20" t="s">
        <v>127</v>
      </c>
      <c r="K141" s="20" t="s">
        <v>553</v>
      </c>
    </row>
    <row r="142" customFormat="false" ht="35.05" hidden="false" customHeight="false" outlineLevel="0" collapsed="false">
      <c r="A142" s="20" t="s">
        <v>554</v>
      </c>
      <c r="B142" s="20" t="n">
        <v>3</v>
      </c>
      <c r="C142" s="20" t="s">
        <v>61</v>
      </c>
      <c r="D142" s="20" t="s">
        <v>62</v>
      </c>
      <c r="E142" s="20" t="s">
        <v>555</v>
      </c>
      <c r="F142" s="20" t="s">
        <v>139</v>
      </c>
      <c r="G142" s="20"/>
      <c r="H142" s="20"/>
      <c r="I142" s="20" t="s">
        <v>139</v>
      </c>
      <c r="J142" s="20" t="s">
        <v>140</v>
      </c>
      <c r="K142" s="20" t="s">
        <v>556</v>
      </c>
    </row>
    <row r="143" customFormat="false" ht="23.85" hidden="false" customHeight="false" outlineLevel="0" collapsed="false">
      <c r="A143" s="20" t="s">
        <v>557</v>
      </c>
      <c r="B143" s="20" t="n">
        <v>4</v>
      </c>
      <c r="C143" s="20" t="s">
        <v>61</v>
      </c>
      <c r="D143" s="20" t="s">
        <v>62</v>
      </c>
      <c r="E143" s="20" t="s">
        <v>555</v>
      </c>
      <c r="F143" s="20" t="s">
        <v>139</v>
      </c>
      <c r="G143" s="20" t="s">
        <v>558</v>
      </c>
      <c r="H143" s="20" t="s">
        <v>559</v>
      </c>
      <c r="I143" s="20" t="s">
        <v>139</v>
      </c>
      <c r="J143" s="20" t="s">
        <v>140</v>
      </c>
      <c r="K143" s="20" t="s">
        <v>560</v>
      </c>
    </row>
    <row r="144" customFormat="false" ht="23.85" hidden="false" customHeight="false" outlineLevel="0" collapsed="false">
      <c r="A144" s="20" t="s">
        <v>561</v>
      </c>
      <c r="B144" s="20" t="n">
        <v>4</v>
      </c>
      <c r="C144" s="20" t="s">
        <v>61</v>
      </c>
      <c r="D144" s="20" t="s">
        <v>62</v>
      </c>
      <c r="E144" s="20" t="s">
        <v>555</v>
      </c>
      <c r="F144" s="20" t="s">
        <v>139</v>
      </c>
      <c r="G144" s="20" t="s">
        <v>562</v>
      </c>
      <c r="H144" s="20" t="s">
        <v>563</v>
      </c>
      <c r="I144" s="20" t="s">
        <v>139</v>
      </c>
      <c r="J144" s="20" t="s">
        <v>140</v>
      </c>
      <c r="K144" s="20" t="s">
        <v>564</v>
      </c>
    </row>
    <row r="145" customFormat="false" ht="23.85" hidden="false" customHeight="false" outlineLevel="0" collapsed="false">
      <c r="A145" s="20" t="s">
        <v>565</v>
      </c>
      <c r="B145" s="20" t="n">
        <v>4</v>
      </c>
      <c r="C145" s="20" t="s">
        <v>61</v>
      </c>
      <c r="D145" s="20" t="s">
        <v>62</v>
      </c>
      <c r="E145" s="20" t="s">
        <v>555</v>
      </c>
      <c r="F145" s="20" t="s">
        <v>139</v>
      </c>
      <c r="G145" s="20" t="s">
        <v>566</v>
      </c>
      <c r="H145" s="20" t="s">
        <v>567</v>
      </c>
      <c r="I145" s="20" t="s">
        <v>139</v>
      </c>
      <c r="J145" s="20" t="s">
        <v>140</v>
      </c>
      <c r="K145" s="20" t="s">
        <v>568</v>
      </c>
    </row>
    <row r="146" customFormat="false" ht="35.05" hidden="false" customHeight="false" outlineLevel="0" collapsed="false">
      <c r="A146" s="20" t="s">
        <v>569</v>
      </c>
      <c r="B146" s="20" t="n">
        <v>3</v>
      </c>
      <c r="C146" s="20" t="s">
        <v>61</v>
      </c>
      <c r="D146" s="20" t="s">
        <v>62</v>
      </c>
      <c r="E146" s="20" t="s">
        <v>570</v>
      </c>
      <c r="F146" s="20" t="s">
        <v>156</v>
      </c>
      <c r="G146" s="20"/>
      <c r="H146" s="20"/>
      <c r="I146" s="20" t="s">
        <v>156</v>
      </c>
      <c r="J146" s="20" t="s">
        <v>157</v>
      </c>
      <c r="K146" s="20" t="s">
        <v>571</v>
      </c>
    </row>
    <row r="147" customFormat="false" ht="23.85" hidden="false" customHeight="false" outlineLevel="0" collapsed="false">
      <c r="A147" s="20" t="s">
        <v>572</v>
      </c>
      <c r="B147" s="20" t="n">
        <v>4</v>
      </c>
      <c r="C147" s="20" t="s">
        <v>61</v>
      </c>
      <c r="D147" s="20" t="s">
        <v>62</v>
      </c>
      <c r="E147" s="20" t="s">
        <v>570</v>
      </c>
      <c r="F147" s="20" t="s">
        <v>156</v>
      </c>
      <c r="G147" s="20" t="s">
        <v>573</v>
      </c>
      <c r="H147" s="20" t="s">
        <v>161</v>
      </c>
      <c r="I147" s="20" t="s">
        <v>156</v>
      </c>
      <c r="J147" s="20" t="s">
        <v>157</v>
      </c>
      <c r="K147" s="20" t="s">
        <v>574</v>
      </c>
    </row>
    <row r="148" customFormat="false" ht="35.05" hidden="false" customHeight="false" outlineLevel="0" collapsed="false">
      <c r="A148" s="20" t="s">
        <v>575</v>
      </c>
      <c r="B148" s="20" t="n">
        <v>3</v>
      </c>
      <c r="C148" s="20" t="s">
        <v>61</v>
      </c>
      <c r="D148" s="20" t="s">
        <v>62</v>
      </c>
      <c r="E148" s="20" t="s">
        <v>576</v>
      </c>
      <c r="F148" s="20" t="s">
        <v>165</v>
      </c>
      <c r="G148" s="20"/>
      <c r="H148" s="20"/>
      <c r="I148" s="20" t="s">
        <v>165</v>
      </c>
      <c r="J148" s="20" t="s">
        <v>166</v>
      </c>
      <c r="K148" s="20" t="s">
        <v>577</v>
      </c>
    </row>
    <row r="149" customFormat="false" ht="23.85" hidden="false" customHeight="false" outlineLevel="0" collapsed="false">
      <c r="A149" s="20" t="s">
        <v>578</v>
      </c>
      <c r="B149" s="20" t="n">
        <v>4</v>
      </c>
      <c r="C149" s="20" t="s">
        <v>61</v>
      </c>
      <c r="D149" s="20" t="s">
        <v>62</v>
      </c>
      <c r="E149" s="20" t="s">
        <v>576</v>
      </c>
      <c r="F149" s="20" t="s">
        <v>165</v>
      </c>
      <c r="G149" s="20" t="s">
        <v>579</v>
      </c>
      <c r="H149" s="20" t="s">
        <v>170</v>
      </c>
      <c r="I149" s="20" t="s">
        <v>165</v>
      </c>
      <c r="J149" s="20" t="s">
        <v>166</v>
      </c>
      <c r="K149" s="20" t="s">
        <v>580</v>
      </c>
    </row>
    <row r="150" customFormat="false" ht="23.85" hidden="false" customHeight="false" outlineLevel="0" collapsed="false">
      <c r="A150" s="20" t="s">
        <v>581</v>
      </c>
      <c r="B150" s="20" t="n">
        <v>4</v>
      </c>
      <c r="C150" s="20" t="s">
        <v>61</v>
      </c>
      <c r="D150" s="20" t="s">
        <v>62</v>
      </c>
      <c r="E150" s="20" t="s">
        <v>576</v>
      </c>
      <c r="F150" s="20" t="s">
        <v>165</v>
      </c>
      <c r="G150" s="20" t="s">
        <v>582</v>
      </c>
      <c r="H150" s="20" t="s">
        <v>174</v>
      </c>
      <c r="I150" s="20" t="s">
        <v>165</v>
      </c>
      <c r="J150" s="20" t="s">
        <v>166</v>
      </c>
      <c r="K150" s="20" t="s">
        <v>583</v>
      </c>
    </row>
    <row r="151" customFormat="false" ht="35.05" hidden="false" customHeight="false" outlineLevel="0" collapsed="false">
      <c r="A151" s="20" t="s">
        <v>584</v>
      </c>
      <c r="B151" s="20" t="n">
        <v>3</v>
      </c>
      <c r="C151" s="20" t="s">
        <v>65</v>
      </c>
      <c r="D151" s="20" t="s">
        <v>66</v>
      </c>
      <c r="E151" s="20" t="s">
        <v>585</v>
      </c>
      <c r="F151" s="20" t="s">
        <v>100</v>
      </c>
      <c r="G151" s="20"/>
      <c r="H151" s="20"/>
      <c r="I151" s="20" t="s">
        <v>100</v>
      </c>
      <c r="J151" s="20" t="s">
        <v>101</v>
      </c>
      <c r="K151" s="20" t="s">
        <v>586</v>
      </c>
    </row>
    <row r="152" customFormat="false" ht="23.85" hidden="false" customHeight="false" outlineLevel="0" collapsed="false">
      <c r="A152" s="20" t="s">
        <v>587</v>
      </c>
      <c r="B152" s="20" t="n">
        <v>4</v>
      </c>
      <c r="C152" s="20" t="s">
        <v>65</v>
      </c>
      <c r="D152" s="20" t="s">
        <v>66</v>
      </c>
      <c r="E152" s="20" t="s">
        <v>585</v>
      </c>
      <c r="F152" s="20" t="s">
        <v>100</v>
      </c>
      <c r="G152" s="20" t="s">
        <v>588</v>
      </c>
      <c r="H152" s="20" t="s">
        <v>105</v>
      </c>
      <c r="I152" s="20" t="s">
        <v>100</v>
      </c>
      <c r="J152" s="20" t="s">
        <v>101</v>
      </c>
      <c r="K152" s="20" t="s">
        <v>589</v>
      </c>
    </row>
    <row r="153" customFormat="false" ht="23.85" hidden="false" customHeight="false" outlineLevel="0" collapsed="false">
      <c r="A153" s="20" t="s">
        <v>590</v>
      </c>
      <c r="B153" s="20" t="n">
        <v>4</v>
      </c>
      <c r="C153" s="20" t="s">
        <v>65</v>
      </c>
      <c r="D153" s="20" t="s">
        <v>66</v>
      </c>
      <c r="E153" s="20" t="s">
        <v>585</v>
      </c>
      <c r="F153" s="20" t="s">
        <v>100</v>
      </c>
      <c r="G153" s="20" t="s">
        <v>591</v>
      </c>
      <c r="H153" s="20" t="s">
        <v>109</v>
      </c>
      <c r="I153" s="20" t="s">
        <v>100</v>
      </c>
      <c r="J153" s="20" t="s">
        <v>101</v>
      </c>
      <c r="K153" s="20" t="s">
        <v>592</v>
      </c>
    </row>
    <row r="154" customFormat="false" ht="35.05" hidden="false" customHeight="false" outlineLevel="0" collapsed="false">
      <c r="A154" s="20" t="s">
        <v>593</v>
      </c>
      <c r="B154" s="20" t="n">
        <v>3</v>
      </c>
      <c r="C154" s="20" t="s">
        <v>65</v>
      </c>
      <c r="D154" s="20" t="s">
        <v>66</v>
      </c>
      <c r="E154" s="20" t="s">
        <v>594</v>
      </c>
      <c r="F154" s="20" t="s">
        <v>113</v>
      </c>
      <c r="G154" s="20"/>
      <c r="H154" s="20"/>
      <c r="I154" s="20" t="s">
        <v>113</v>
      </c>
      <c r="J154" s="20" t="s">
        <v>114</v>
      </c>
      <c r="K154" s="20" t="s">
        <v>595</v>
      </c>
    </row>
    <row r="155" customFormat="false" ht="23.85" hidden="false" customHeight="false" outlineLevel="0" collapsed="false">
      <c r="A155" s="20" t="s">
        <v>596</v>
      </c>
      <c r="B155" s="20" t="n">
        <v>4</v>
      </c>
      <c r="C155" s="20" t="s">
        <v>65</v>
      </c>
      <c r="D155" s="20" t="s">
        <v>66</v>
      </c>
      <c r="E155" s="20" t="s">
        <v>594</v>
      </c>
      <c r="F155" s="20" t="s">
        <v>113</v>
      </c>
      <c r="G155" s="20" t="s">
        <v>597</v>
      </c>
      <c r="H155" s="20" t="s">
        <v>118</v>
      </c>
      <c r="I155" s="20" t="s">
        <v>113</v>
      </c>
      <c r="J155" s="20" t="s">
        <v>114</v>
      </c>
      <c r="K155" s="20" t="s">
        <v>598</v>
      </c>
    </row>
    <row r="156" customFormat="false" ht="23.85" hidden="false" customHeight="false" outlineLevel="0" collapsed="false">
      <c r="A156" s="20" t="s">
        <v>599</v>
      </c>
      <c r="B156" s="20" t="n">
        <v>4</v>
      </c>
      <c r="C156" s="20" t="s">
        <v>65</v>
      </c>
      <c r="D156" s="20" t="s">
        <v>66</v>
      </c>
      <c r="E156" s="20" t="s">
        <v>594</v>
      </c>
      <c r="F156" s="20" t="s">
        <v>113</v>
      </c>
      <c r="G156" s="20" t="s">
        <v>600</v>
      </c>
      <c r="H156" s="20" t="s">
        <v>122</v>
      </c>
      <c r="I156" s="20" t="s">
        <v>113</v>
      </c>
      <c r="J156" s="20" t="s">
        <v>114</v>
      </c>
      <c r="K156" s="20" t="s">
        <v>601</v>
      </c>
    </row>
    <row r="157" customFormat="false" ht="23.85" hidden="false" customHeight="false" outlineLevel="0" collapsed="false">
      <c r="A157" s="20" t="s">
        <v>602</v>
      </c>
      <c r="B157" s="20" t="n">
        <v>3</v>
      </c>
      <c r="C157" s="20" t="s">
        <v>65</v>
      </c>
      <c r="D157" s="20" t="s">
        <v>66</v>
      </c>
      <c r="E157" s="20" t="s">
        <v>603</v>
      </c>
      <c r="F157" s="20" t="s">
        <v>126</v>
      </c>
      <c r="G157" s="20"/>
      <c r="H157" s="20"/>
      <c r="I157" s="20" t="s">
        <v>126</v>
      </c>
      <c r="J157" s="20" t="s">
        <v>127</v>
      </c>
      <c r="K157" s="20" t="s">
        <v>604</v>
      </c>
    </row>
    <row r="158" customFormat="false" ht="23.85" hidden="false" customHeight="false" outlineLevel="0" collapsed="false">
      <c r="A158" s="20" t="s">
        <v>605</v>
      </c>
      <c r="B158" s="20" t="n">
        <v>4</v>
      </c>
      <c r="C158" s="20" t="s">
        <v>65</v>
      </c>
      <c r="D158" s="20" t="s">
        <v>66</v>
      </c>
      <c r="E158" s="20" t="s">
        <v>603</v>
      </c>
      <c r="F158" s="20" t="s">
        <v>126</v>
      </c>
      <c r="G158" s="20" t="s">
        <v>606</v>
      </c>
      <c r="H158" s="20" t="s">
        <v>131</v>
      </c>
      <c r="I158" s="20" t="s">
        <v>126</v>
      </c>
      <c r="J158" s="20" t="s">
        <v>127</v>
      </c>
      <c r="K158" s="20" t="s">
        <v>607</v>
      </c>
    </row>
    <row r="159" customFormat="false" ht="23.85" hidden="false" customHeight="false" outlineLevel="0" collapsed="false">
      <c r="A159" s="20" t="s">
        <v>608</v>
      </c>
      <c r="B159" s="20" t="n">
        <v>4</v>
      </c>
      <c r="C159" s="20" t="s">
        <v>65</v>
      </c>
      <c r="D159" s="20" t="s">
        <v>66</v>
      </c>
      <c r="E159" s="20" t="s">
        <v>603</v>
      </c>
      <c r="F159" s="20" t="s">
        <v>126</v>
      </c>
      <c r="G159" s="20" t="s">
        <v>609</v>
      </c>
      <c r="H159" s="20" t="s">
        <v>135</v>
      </c>
      <c r="I159" s="20" t="s">
        <v>126</v>
      </c>
      <c r="J159" s="20" t="s">
        <v>127</v>
      </c>
      <c r="K159" s="20" t="s">
        <v>610</v>
      </c>
    </row>
    <row r="160" customFormat="false" ht="23.85" hidden="false" customHeight="false" outlineLevel="0" collapsed="false">
      <c r="A160" s="20" t="s">
        <v>611</v>
      </c>
      <c r="B160" s="20" t="n">
        <v>3</v>
      </c>
      <c r="C160" s="20" t="s">
        <v>65</v>
      </c>
      <c r="D160" s="20" t="s">
        <v>66</v>
      </c>
      <c r="E160" s="20" t="s">
        <v>612</v>
      </c>
      <c r="F160" s="20" t="s">
        <v>139</v>
      </c>
      <c r="G160" s="20"/>
      <c r="H160" s="20"/>
      <c r="I160" s="20" t="s">
        <v>139</v>
      </c>
      <c r="J160" s="20" t="s">
        <v>140</v>
      </c>
      <c r="K160" s="20" t="s">
        <v>613</v>
      </c>
    </row>
    <row r="161" customFormat="false" ht="23.85" hidden="false" customHeight="false" outlineLevel="0" collapsed="false">
      <c r="A161" s="20" t="s">
        <v>614</v>
      </c>
      <c r="B161" s="20" t="n">
        <v>4</v>
      </c>
      <c r="C161" s="20" t="s">
        <v>65</v>
      </c>
      <c r="D161" s="20" t="s">
        <v>66</v>
      </c>
      <c r="E161" s="20" t="s">
        <v>612</v>
      </c>
      <c r="F161" s="20" t="s">
        <v>139</v>
      </c>
      <c r="G161" s="20" t="s">
        <v>615</v>
      </c>
      <c r="H161" s="20" t="s">
        <v>616</v>
      </c>
      <c r="I161" s="20" t="s">
        <v>139</v>
      </c>
      <c r="J161" s="20" t="s">
        <v>140</v>
      </c>
      <c r="K161" s="20" t="s">
        <v>617</v>
      </c>
    </row>
    <row r="162" customFormat="false" ht="23.85" hidden="false" customHeight="false" outlineLevel="0" collapsed="false">
      <c r="A162" s="20" t="s">
        <v>618</v>
      </c>
      <c r="B162" s="20" t="n">
        <v>4</v>
      </c>
      <c r="C162" s="20" t="s">
        <v>65</v>
      </c>
      <c r="D162" s="20" t="s">
        <v>66</v>
      </c>
      <c r="E162" s="20" t="s">
        <v>612</v>
      </c>
      <c r="F162" s="20" t="s">
        <v>139</v>
      </c>
      <c r="G162" s="20" t="s">
        <v>619</v>
      </c>
      <c r="H162" s="20" t="s">
        <v>620</v>
      </c>
      <c r="I162" s="20" t="s">
        <v>139</v>
      </c>
      <c r="J162" s="20" t="s">
        <v>140</v>
      </c>
      <c r="K162" s="20" t="s">
        <v>621</v>
      </c>
    </row>
    <row r="163" customFormat="false" ht="23.85" hidden="false" customHeight="false" outlineLevel="0" collapsed="false">
      <c r="A163" s="20" t="s">
        <v>622</v>
      </c>
      <c r="B163" s="20" t="n">
        <v>4</v>
      </c>
      <c r="C163" s="20" t="s">
        <v>65</v>
      </c>
      <c r="D163" s="20" t="s">
        <v>66</v>
      </c>
      <c r="E163" s="20" t="s">
        <v>612</v>
      </c>
      <c r="F163" s="20" t="s">
        <v>139</v>
      </c>
      <c r="G163" s="20" t="s">
        <v>623</v>
      </c>
      <c r="H163" s="20" t="s">
        <v>624</v>
      </c>
      <c r="I163" s="20" t="s">
        <v>139</v>
      </c>
      <c r="J163" s="20" t="s">
        <v>140</v>
      </c>
      <c r="K163" s="20" t="s">
        <v>625</v>
      </c>
    </row>
    <row r="164" customFormat="false" ht="35.05" hidden="false" customHeight="false" outlineLevel="0" collapsed="false">
      <c r="A164" s="20" t="s">
        <v>626</v>
      </c>
      <c r="B164" s="20" t="n">
        <v>3</v>
      </c>
      <c r="C164" s="20" t="s">
        <v>65</v>
      </c>
      <c r="D164" s="20" t="s">
        <v>66</v>
      </c>
      <c r="E164" s="20" t="s">
        <v>627</v>
      </c>
      <c r="F164" s="20" t="s">
        <v>156</v>
      </c>
      <c r="G164" s="20"/>
      <c r="H164" s="20"/>
      <c r="I164" s="20" t="s">
        <v>156</v>
      </c>
      <c r="J164" s="20" t="s">
        <v>157</v>
      </c>
      <c r="K164" s="20" t="s">
        <v>628</v>
      </c>
    </row>
    <row r="165" customFormat="false" ht="23.85" hidden="false" customHeight="false" outlineLevel="0" collapsed="false">
      <c r="A165" s="20" t="s">
        <v>629</v>
      </c>
      <c r="B165" s="20" t="n">
        <v>4</v>
      </c>
      <c r="C165" s="20" t="s">
        <v>65</v>
      </c>
      <c r="D165" s="20" t="s">
        <v>66</v>
      </c>
      <c r="E165" s="20" t="s">
        <v>627</v>
      </c>
      <c r="F165" s="20" t="s">
        <v>156</v>
      </c>
      <c r="G165" s="20" t="s">
        <v>630</v>
      </c>
      <c r="H165" s="20" t="s">
        <v>161</v>
      </c>
      <c r="I165" s="20" t="s">
        <v>156</v>
      </c>
      <c r="J165" s="20" t="s">
        <v>157</v>
      </c>
      <c r="K165" s="20" t="s">
        <v>631</v>
      </c>
    </row>
    <row r="166" customFormat="false" ht="35.05" hidden="false" customHeight="false" outlineLevel="0" collapsed="false">
      <c r="A166" s="20" t="s">
        <v>632</v>
      </c>
      <c r="B166" s="20" t="n">
        <v>3</v>
      </c>
      <c r="C166" s="20" t="s">
        <v>65</v>
      </c>
      <c r="D166" s="20" t="s">
        <v>66</v>
      </c>
      <c r="E166" s="20" t="s">
        <v>633</v>
      </c>
      <c r="F166" s="20" t="s">
        <v>165</v>
      </c>
      <c r="G166" s="20"/>
      <c r="H166" s="20"/>
      <c r="I166" s="20" t="s">
        <v>165</v>
      </c>
      <c r="J166" s="20" t="s">
        <v>166</v>
      </c>
      <c r="K166" s="20" t="s">
        <v>634</v>
      </c>
    </row>
    <row r="167" customFormat="false" ht="23.85" hidden="false" customHeight="false" outlineLevel="0" collapsed="false">
      <c r="A167" s="20" t="s">
        <v>635</v>
      </c>
      <c r="B167" s="20" t="n">
        <v>4</v>
      </c>
      <c r="C167" s="20" t="s">
        <v>65</v>
      </c>
      <c r="D167" s="20" t="s">
        <v>66</v>
      </c>
      <c r="E167" s="20" t="s">
        <v>633</v>
      </c>
      <c r="F167" s="20" t="s">
        <v>165</v>
      </c>
      <c r="G167" s="20" t="s">
        <v>636</v>
      </c>
      <c r="H167" s="20" t="s">
        <v>170</v>
      </c>
      <c r="I167" s="20" t="s">
        <v>165</v>
      </c>
      <c r="J167" s="20" t="s">
        <v>166</v>
      </c>
      <c r="K167" s="20" t="s">
        <v>637</v>
      </c>
    </row>
    <row r="168" customFormat="false" ht="23.85" hidden="false" customHeight="false" outlineLevel="0" collapsed="false">
      <c r="A168" s="20" t="s">
        <v>638</v>
      </c>
      <c r="B168" s="20" t="n">
        <v>4</v>
      </c>
      <c r="C168" s="20" t="s">
        <v>65</v>
      </c>
      <c r="D168" s="20" t="s">
        <v>66</v>
      </c>
      <c r="E168" s="20" t="s">
        <v>633</v>
      </c>
      <c r="F168" s="20" t="s">
        <v>165</v>
      </c>
      <c r="G168" s="20" t="s">
        <v>639</v>
      </c>
      <c r="H168" s="20" t="s">
        <v>174</v>
      </c>
      <c r="I168" s="20" t="s">
        <v>165</v>
      </c>
      <c r="J168" s="20" t="s">
        <v>166</v>
      </c>
      <c r="K168" s="20" t="s">
        <v>640</v>
      </c>
    </row>
    <row r="169" customFormat="false" ht="35.05" hidden="false" customHeight="false" outlineLevel="0" collapsed="false">
      <c r="A169" s="20" t="s">
        <v>641</v>
      </c>
      <c r="B169" s="20" t="n">
        <v>3</v>
      </c>
      <c r="C169" s="20" t="s">
        <v>68</v>
      </c>
      <c r="D169" s="20" t="s">
        <v>69</v>
      </c>
      <c r="E169" s="20" t="s">
        <v>642</v>
      </c>
      <c r="F169" s="20" t="s">
        <v>100</v>
      </c>
      <c r="G169" s="20"/>
      <c r="H169" s="20"/>
      <c r="I169" s="20" t="s">
        <v>100</v>
      </c>
      <c r="J169" s="20" t="s">
        <v>101</v>
      </c>
      <c r="K169" s="20" t="s">
        <v>643</v>
      </c>
    </row>
    <row r="170" customFormat="false" ht="23.85" hidden="false" customHeight="false" outlineLevel="0" collapsed="false">
      <c r="A170" s="20" t="s">
        <v>644</v>
      </c>
      <c r="B170" s="20" t="n">
        <v>4</v>
      </c>
      <c r="C170" s="20" t="s">
        <v>68</v>
      </c>
      <c r="D170" s="20" t="s">
        <v>69</v>
      </c>
      <c r="E170" s="20" t="s">
        <v>642</v>
      </c>
      <c r="F170" s="20" t="s">
        <v>100</v>
      </c>
      <c r="G170" s="20" t="s">
        <v>645</v>
      </c>
      <c r="H170" s="20" t="s">
        <v>105</v>
      </c>
      <c r="I170" s="20" t="s">
        <v>100</v>
      </c>
      <c r="J170" s="20" t="s">
        <v>101</v>
      </c>
      <c r="K170" s="20" t="s">
        <v>646</v>
      </c>
    </row>
    <row r="171" customFormat="false" ht="23.85" hidden="false" customHeight="false" outlineLevel="0" collapsed="false">
      <c r="A171" s="20" t="s">
        <v>647</v>
      </c>
      <c r="B171" s="20" t="n">
        <v>4</v>
      </c>
      <c r="C171" s="20" t="s">
        <v>68</v>
      </c>
      <c r="D171" s="20" t="s">
        <v>69</v>
      </c>
      <c r="E171" s="20" t="s">
        <v>642</v>
      </c>
      <c r="F171" s="20" t="s">
        <v>100</v>
      </c>
      <c r="G171" s="20" t="s">
        <v>648</v>
      </c>
      <c r="H171" s="20" t="s">
        <v>109</v>
      </c>
      <c r="I171" s="20" t="s">
        <v>100</v>
      </c>
      <c r="J171" s="20" t="s">
        <v>101</v>
      </c>
      <c r="K171" s="20" t="s">
        <v>649</v>
      </c>
    </row>
    <row r="172" customFormat="false" ht="35.05" hidden="false" customHeight="false" outlineLevel="0" collapsed="false">
      <c r="A172" s="20" t="s">
        <v>650</v>
      </c>
      <c r="B172" s="20" t="n">
        <v>3</v>
      </c>
      <c r="C172" s="20" t="s">
        <v>68</v>
      </c>
      <c r="D172" s="20" t="s">
        <v>69</v>
      </c>
      <c r="E172" s="20" t="s">
        <v>651</v>
      </c>
      <c r="F172" s="20" t="s">
        <v>113</v>
      </c>
      <c r="G172" s="20"/>
      <c r="H172" s="20"/>
      <c r="I172" s="20" t="s">
        <v>113</v>
      </c>
      <c r="J172" s="20" t="s">
        <v>114</v>
      </c>
      <c r="K172" s="20" t="s">
        <v>652</v>
      </c>
    </row>
    <row r="173" customFormat="false" ht="23.85" hidden="false" customHeight="false" outlineLevel="0" collapsed="false">
      <c r="A173" s="20" t="s">
        <v>653</v>
      </c>
      <c r="B173" s="20" t="n">
        <v>4</v>
      </c>
      <c r="C173" s="20" t="s">
        <v>68</v>
      </c>
      <c r="D173" s="20" t="s">
        <v>69</v>
      </c>
      <c r="E173" s="20" t="s">
        <v>651</v>
      </c>
      <c r="F173" s="20" t="s">
        <v>113</v>
      </c>
      <c r="G173" s="20" t="s">
        <v>654</v>
      </c>
      <c r="H173" s="20" t="s">
        <v>118</v>
      </c>
      <c r="I173" s="20" t="s">
        <v>113</v>
      </c>
      <c r="J173" s="20" t="s">
        <v>114</v>
      </c>
      <c r="K173" s="20" t="s">
        <v>655</v>
      </c>
    </row>
    <row r="174" customFormat="false" ht="23.85" hidden="false" customHeight="false" outlineLevel="0" collapsed="false">
      <c r="A174" s="20" t="s">
        <v>656</v>
      </c>
      <c r="B174" s="20" t="n">
        <v>4</v>
      </c>
      <c r="C174" s="20" t="s">
        <v>68</v>
      </c>
      <c r="D174" s="20" t="s">
        <v>69</v>
      </c>
      <c r="E174" s="20" t="s">
        <v>651</v>
      </c>
      <c r="F174" s="20" t="s">
        <v>113</v>
      </c>
      <c r="G174" s="20" t="s">
        <v>657</v>
      </c>
      <c r="H174" s="20" t="s">
        <v>122</v>
      </c>
      <c r="I174" s="20" t="s">
        <v>113</v>
      </c>
      <c r="J174" s="20" t="s">
        <v>114</v>
      </c>
      <c r="K174" s="20" t="s">
        <v>658</v>
      </c>
    </row>
    <row r="175" customFormat="false" ht="23.85" hidden="false" customHeight="false" outlineLevel="0" collapsed="false">
      <c r="A175" s="20" t="s">
        <v>659</v>
      </c>
      <c r="B175" s="20" t="n">
        <v>3</v>
      </c>
      <c r="C175" s="20" t="s">
        <v>68</v>
      </c>
      <c r="D175" s="20" t="s">
        <v>69</v>
      </c>
      <c r="E175" s="20" t="s">
        <v>660</v>
      </c>
      <c r="F175" s="20" t="s">
        <v>126</v>
      </c>
      <c r="G175" s="20"/>
      <c r="H175" s="20"/>
      <c r="I175" s="20" t="s">
        <v>126</v>
      </c>
      <c r="J175" s="20" t="s">
        <v>127</v>
      </c>
      <c r="K175" s="20" t="s">
        <v>661</v>
      </c>
    </row>
    <row r="176" customFormat="false" ht="23.85" hidden="false" customHeight="false" outlineLevel="0" collapsed="false">
      <c r="A176" s="20" t="s">
        <v>662</v>
      </c>
      <c r="B176" s="20" t="n">
        <v>4</v>
      </c>
      <c r="C176" s="20" t="s">
        <v>68</v>
      </c>
      <c r="D176" s="20" t="s">
        <v>69</v>
      </c>
      <c r="E176" s="20" t="s">
        <v>660</v>
      </c>
      <c r="F176" s="20" t="s">
        <v>126</v>
      </c>
      <c r="G176" s="20" t="s">
        <v>663</v>
      </c>
      <c r="H176" s="20" t="s">
        <v>131</v>
      </c>
      <c r="I176" s="20" t="s">
        <v>126</v>
      </c>
      <c r="J176" s="20" t="s">
        <v>127</v>
      </c>
      <c r="K176" s="20" t="s">
        <v>664</v>
      </c>
    </row>
    <row r="177" customFormat="false" ht="23.85" hidden="false" customHeight="false" outlineLevel="0" collapsed="false">
      <c r="A177" s="20" t="s">
        <v>665</v>
      </c>
      <c r="B177" s="20" t="n">
        <v>4</v>
      </c>
      <c r="C177" s="20" t="s">
        <v>68</v>
      </c>
      <c r="D177" s="20" t="s">
        <v>69</v>
      </c>
      <c r="E177" s="20" t="s">
        <v>660</v>
      </c>
      <c r="F177" s="20" t="s">
        <v>126</v>
      </c>
      <c r="G177" s="20" t="s">
        <v>666</v>
      </c>
      <c r="H177" s="20" t="s">
        <v>135</v>
      </c>
      <c r="I177" s="20" t="s">
        <v>126</v>
      </c>
      <c r="J177" s="20" t="s">
        <v>127</v>
      </c>
      <c r="K177" s="20" t="s">
        <v>667</v>
      </c>
    </row>
    <row r="178" customFormat="false" ht="23.85" hidden="false" customHeight="false" outlineLevel="0" collapsed="false">
      <c r="A178" s="20" t="s">
        <v>668</v>
      </c>
      <c r="B178" s="20" t="n">
        <v>3</v>
      </c>
      <c r="C178" s="20" t="s">
        <v>68</v>
      </c>
      <c r="D178" s="20" t="s">
        <v>69</v>
      </c>
      <c r="E178" s="20" t="s">
        <v>669</v>
      </c>
      <c r="F178" s="20" t="s">
        <v>139</v>
      </c>
      <c r="G178" s="20"/>
      <c r="H178" s="20"/>
      <c r="I178" s="20" t="s">
        <v>139</v>
      </c>
      <c r="J178" s="20" t="s">
        <v>140</v>
      </c>
      <c r="K178" s="20" t="s">
        <v>670</v>
      </c>
    </row>
    <row r="179" customFormat="false" ht="23.85" hidden="false" customHeight="false" outlineLevel="0" collapsed="false">
      <c r="A179" s="20" t="s">
        <v>671</v>
      </c>
      <c r="B179" s="20" t="n">
        <v>4</v>
      </c>
      <c r="C179" s="20" t="s">
        <v>68</v>
      </c>
      <c r="D179" s="20" t="s">
        <v>69</v>
      </c>
      <c r="E179" s="20" t="s">
        <v>669</v>
      </c>
      <c r="F179" s="20" t="s">
        <v>139</v>
      </c>
      <c r="G179" s="20" t="s">
        <v>672</v>
      </c>
      <c r="H179" s="20" t="s">
        <v>673</v>
      </c>
      <c r="I179" s="20" t="s">
        <v>139</v>
      </c>
      <c r="J179" s="20" t="s">
        <v>140</v>
      </c>
      <c r="K179" s="20" t="s">
        <v>674</v>
      </c>
    </row>
    <row r="180" customFormat="false" ht="23.85" hidden="false" customHeight="false" outlineLevel="0" collapsed="false">
      <c r="A180" s="20" t="s">
        <v>675</v>
      </c>
      <c r="B180" s="20" t="n">
        <v>4</v>
      </c>
      <c r="C180" s="20" t="s">
        <v>68</v>
      </c>
      <c r="D180" s="20" t="s">
        <v>69</v>
      </c>
      <c r="E180" s="20" t="s">
        <v>669</v>
      </c>
      <c r="F180" s="20" t="s">
        <v>139</v>
      </c>
      <c r="G180" s="20" t="s">
        <v>676</v>
      </c>
      <c r="H180" s="20" t="s">
        <v>677</v>
      </c>
      <c r="I180" s="20" t="s">
        <v>139</v>
      </c>
      <c r="J180" s="20" t="s">
        <v>140</v>
      </c>
      <c r="K180" s="20" t="s">
        <v>678</v>
      </c>
    </row>
    <row r="181" customFormat="false" ht="23.85" hidden="false" customHeight="false" outlineLevel="0" collapsed="false">
      <c r="A181" s="20" t="s">
        <v>679</v>
      </c>
      <c r="B181" s="20" t="n">
        <v>4</v>
      </c>
      <c r="C181" s="20" t="s">
        <v>68</v>
      </c>
      <c r="D181" s="20" t="s">
        <v>69</v>
      </c>
      <c r="E181" s="20" t="s">
        <v>669</v>
      </c>
      <c r="F181" s="20" t="s">
        <v>139</v>
      </c>
      <c r="G181" s="20" t="s">
        <v>680</v>
      </c>
      <c r="H181" s="20" t="s">
        <v>681</v>
      </c>
      <c r="I181" s="20" t="s">
        <v>139</v>
      </c>
      <c r="J181" s="20" t="s">
        <v>140</v>
      </c>
      <c r="K181" s="20" t="s">
        <v>682</v>
      </c>
    </row>
    <row r="182" customFormat="false" ht="35.05" hidden="false" customHeight="false" outlineLevel="0" collapsed="false">
      <c r="A182" s="20" t="s">
        <v>683</v>
      </c>
      <c r="B182" s="20" t="n">
        <v>3</v>
      </c>
      <c r="C182" s="20" t="s">
        <v>68</v>
      </c>
      <c r="D182" s="20" t="s">
        <v>69</v>
      </c>
      <c r="E182" s="20" t="s">
        <v>684</v>
      </c>
      <c r="F182" s="20" t="s">
        <v>156</v>
      </c>
      <c r="G182" s="20"/>
      <c r="H182" s="20"/>
      <c r="I182" s="20" t="s">
        <v>156</v>
      </c>
      <c r="J182" s="20" t="s">
        <v>157</v>
      </c>
      <c r="K182" s="20" t="s">
        <v>685</v>
      </c>
    </row>
    <row r="183" customFormat="false" ht="23.85" hidden="false" customHeight="false" outlineLevel="0" collapsed="false">
      <c r="A183" s="20" t="s">
        <v>686</v>
      </c>
      <c r="B183" s="20" t="n">
        <v>4</v>
      </c>
      <c r="C183" s="20" t="s">
        <v>68</v>
      </c>
      <c r="D183" s="20" t="s">
        <v>69</v>
      </c>
      <c r="E183" s="20" t="s">
        <v>684</v>
      </c>
      <c r="F183" s="20" t="s">
        <v>156</v>
      </c>
      <c r="G183" s="20" t="s">
        <v>687</v>
      </c>
      <c r="H183" s="20" t="s">
        <v>161</v>
      </c>
      <c r="I183" s="20" t="s">
        <v>156</v>
      </c>
      <c r="J183" s="20" t="s">
        <v>157</v>
      </c>
      <c r="K183" s="20" t="s">
        <v>688</v>
      </c>
    </row>
    <row r="184" customFormat="false" ht="35.05" hidden="false" customHeight="false" outlineLevel="0" collapsed="false">
      <c r="A184" s="20" t="s">
        <v>689</v>
      </c>
      <c r="B184" s="20" t="n">
        <v>3</v>
      </c>
      <c r="C184" s="20" t="s">
        <v>68</v>
      </c>
      <c r="D184" s="20" t="s">
        <v>69</v>
      </c>
      <c r="E184" s="20" t="s">
        <v>690</v>
      </c>
      <c r="F184" s="20" t="s">
        <v>165</v>
      </c>
      <c r="G184" s="20"/>
      <c r="H184" s="20"/>
      <c r="I184" s="20" t="s">
        <v>165</v>
      </c>
      <c r="J184" s="20" t="s">
        <v>166</v>
      </c>
      <c r="K184" s="20" t="s">
        <v>691</v>
      </c>
    </row>
    <row r="185" customFormat="false" ht="23.85" hidden="false" customHeight="false" outlineLevel="0" collapsed="false">
      <c r="A185" s="20" t="s">
        <v>692</v>
      </c>
      <c r="B185" s="20" t="n">
        <v>4</v>
      </c>
      <c r="C185" s="20" t="s">
        <v>68</v>
      </c>
      <c r="D185" s="20" t="s">
        <v>69</v>
      </c>
      <c r="E185" s="20" t="s">
        <v>690</v>
      </c>
      <c r="F185" s="20" t="s">
        <v>165</v>
      </c>
      <c r="G185" s="20" t="s">
        <v>693</v>
      </c>
      <c r="H185" s="20" t="s">
        <v>170</v>
      </c>
      <c r="I185" s="20" t="s">
        <v>165</v>
      </c>
      <c r="J185" s="20" t="s">
        <v>166</v>
      </c>
      <c r="K185" s="20" t="s">
        <v>694</v>
      </c>
    </row>
    <row r="186" customFormat="false" ht="23.85" hidden="false" customHeight="false" outlineLevel="0" collapsed="false">
      <c r="A186" s="20" t="s">
        <v>695</v>
      </c>
      <c r="B186" s="20" t="n">
        <v>4</v>
      </c>
      <c r="C186" s="20" t="s">
        <v>68</v>
      </c>
      <c r="D186" s="20" t="s">
        <v>69</v>
      </c>
      <c r="E186" s="20" t="s">
        <v>690</v>
      </c>
      <c r="F186" s="20" t="s">
        <v>165</v>
      </c>
      <c r="G186" s="20" t="s">
        <v>696</v>
      </c>
      <c r="H186" s="20" t="s">
        <v>174</v>
      </c>
      <c r="I186" s="20" t="s">
        <v>165</v>
      </c>
      <c r="J186" s="20" t="s">
        <v>166</v>
      </c>
      <c r="K186" s="20" t="s">
        <v>697</v>
      </c>
    </row>
    <row r="187" customFormat="false" ht="35.05" hidden="false" customHeight="false" outlineLevel="0" collapsed="false">
      <c r="A187" s="20" t="s">
        <v>698</v>
      </c>
      <c r="B187" s="20" t="n">
        <v>3</v>
      </c>
      <c r="C187" s="20" t="s">
        <v>72</v>
      </c>
      <c r="D187" s="20" t="s">
        <v>73</v>
      </c>
      <c r="E187" s="20" t="s">
        <v>699</v>
      </c>
      <c r="F187" s="20" t="s">
        <v>100</v>
      </c>
      <c r="G187" s="20"/>
      <c r="H187" s="20"/>
      <c r="I187" s="20" t="s">
        <v>100</v>
      </c>
      <c r="J187" s="20" t="s">
        <v>101</v>
      </c>
      <c r="K187" s="20" t="s">
        <v>700</v>
      </c>
    </row>
    <row r="188" customFormat="false" ht="23.85" hidden="false" customHeight="false" outlineLevel="0" collapsed="false">
      <c r="A188" s="20" t="s">
        <v>701</v>
      </c>
      <c r="B188" s="20" t="n">
        <v>4</v>
      </c>
      <c r="C188" s="20" t="s">
        <v>72</v>
      </c>
      <c r="D188" s="20" t="s">
        <v>73</v>
      </c>
      <c r="E188" s="20" t="s">
        <v>699</v>
      </c>
      <c r="F188" s="20" t="s">
        <v>100</v>
      </c>
      <c r="G188" s="20" t="s">
        <v>702</v>
      </c>
      <c r="H188" s="20" t="s">
        <v>105</v>
      </c>
      <c r="I188" s="20" t="s">
        <v>100</v>
      </c>
      <c r="J188" s="20" t="s">
        <v>101</v>
      </c>
      <c r="K188" s="20" t="s">
        <v>703</v>
      </c>
    </row>
    <row r="189" customFormat="false" ht="23.85" hidden="false" customHeight="false" outlineLevel="0" collapsed="false">
      <c r="A189" s="20" t="s">
        <v>704</v>
      </c>
      <c r="B189" s="20" t="n">
        <v>4</v>
      </c>
      <c r="C189" s="20" t="s">
        <v>72</v>
      </c>
      <c r="D189" s="20" t="s">
        <v>73</v>
      </c>
      <c r="E189" s="20" t="s">
        <v>699</v>
      </c>
      <c r="F189" s="20" t="s">
        <v>100</v>
      </c>
      <c r="G189" s="20" t="s">
        <v>705</v>
      </c>
      <c r="H189" s="20" t="s">
        <v>109</v>
      </c>
      <c r="I189" s="20" t="s">
        <v>100</v>
      </c>
      <c r="J189" s="20" t="s">
        <v>101</v>
      </c>
      <c r="K189" s="20" t="s">
        <v>706</v>
      </c>
    </row>
    <row r="190" customFormat="false" ht="35.05" hidden="false" customHeight="false" outlineLevel="0" collapsed="false">
      <c r="A190" s="20" t="s">
        <v>707</v>
      </c>
      <c r="B190" s="20" t="n">
        <v>3</v>
      </c>
      <c r="C190" s="20" t="s">
        <v>72</v>
      </c>
      <c r="D190" s="20" t="s">
        <v>73</v>
      </c>
      <c r="E190" s="20" t="s">
        <v>708</v>
      </c>
      <c r="F190" s="20" t="s">
        <v>113</v>
      </c>
      <c r="G190" s="20"/>
      <c r="H190" s="20"/>
      <c r="I190" s="20" t="s">
        <v>113</v>
      </c>
      <c r="J190" s="20" t="s">
        <v>114</v>
      </c>
      <c r="K190" s="20" t="s">
        <v>709</v>
      </c>
    </row>
    <row r="191" customFormat="false" ht="23.85" hidden="false" customHeight="false" outlineLevel="0" collapsed="false">
      <c r="A191" s="20" t="s">
        <v>710</v>
      </c>
      <c r="B191" s="20" t="n">
        <v>4</v>
      </c>
      <c r="C191" s="20" t="s">
        <v>72</v>
      </c>
      <c r="D191" s="20" t="s">
        <v>73</v>
      </c>
      <c r="E191" s="20" t="s">
        <v>708</v>
      </c>
      <c r="F191" s="20" t="s">
        <v>113</v>
      </c>
      <c r="G191" s="20" t="s">
        <v>711</v>
      </c>
      <c r="H191" s="20" t="s">
        <v>118</v>
      </c>
      <c r="I191" s="20" t="s">
        <v>113</v>
      </c>
      <c r="J191" s="20" t="s">
        <v>114</v>
      </c>
      <c r="K191" s="20" t="s">
        <v>712</v>
      </c>
    </row>
    <row r="192" customFormat="false" ht="23.85" hidden="false" customHeight="false" outlineLevel="0" collapsed="false">
      <c r="A192" s="20" t="s">
        <v>713</v>
      </c>
      <c r="B192" s="20" t="n">
        <v>4</v>
      </c>
      <c r="C192" s="20" t="s">
        <v>72</v>
      </c>
      <c r="D192" s="20" t="s">
        <v>73</v>
      </c>
      <c r="E192" s="20" t="s">
        <v>708</v>
      </c>
      <c r="F192" s="20" t="s">
        <v>113</v>
      </c>
      <c r="G192" s="20" t="s">
        <v>714</v>
      </c>
      <c r="H192" s="20" t="s">
        <v>122</v>
      </c>
      <c r="I192" s="20" t="s">
        <v>113</v>
      </c>
      <c r="J192" s="20" t="s">
        <v>114</v>
      </c>
      <c r="K192" s="20" t="s">
        <v>715</v>
      </c>
    </row>
    <row r="193" customFormat="false" ht="23.85" hidden="false" customHeight="false" outlineLevel="0" collapsed="false">
      <c r="A193" s="20" t="s">
        <v>716</v>
      </c>
      <c r="B193" s="20" t="n">
        <v>3</v>
      </c>
      <c r="C193" s="20" t="s">
        <v>72</v>
      </c>
      <c r="D193" s="20" t="s">
        <v>73</v>
      </c>
      <c r="E193" s="20" t="s">
        <v>717</v>
      </c>
      <c r="F193" s="20" t="s">
        <v>126</v>
      </c>
      <c r="G193" s="20"/>
      <c r="H193" s="20"/>
      <c r="I193" s="20" t="s">
        <v>126</v>
      </c>
      <c r="J193" s="20" t="s">
        <v>127</v>
      </c>
      <c r="K193" s="20" t="s">
        <v>718</v>
      </c>
    </row>
    <row r="194" customFormat="false" ht="23.85" hidden="false" customHeight="false" outlineLevel="0" collapsed="false">
      <c r="A194" s="20" t="s">
        <v>719</v>
      </c>
      <c r="B194" s="20" t="n">
        <v>4</v>
      </c>
      <c r="C194" s="20" t="s">
        <v>72</v>
      </c>
      <c r="D194" s="20" t="s">
        <v>73</v>
      </c>
      <c r="E194" s="20" t="s">
        <v>717</v>
      </c>
      <c r="F194" s="20" t="s">
        <v>126</v>
      </c>
      <c r="G194" s="20" t="s">
        <v>720</v>
      </c>
      <c r="H194" s="20" t="s">
        <v>131</v>
      </c>
      <c r="I194" s="20" t="s">
        <v>126</v>
      </c>
      <c r="J194" s="20" t="s">
        <v>127</v>
      </c>
      <c r="K194" s="20" t="s">
        <v>721</v>
      </c>
    </row>
    <row r="195" customFormat="false" ht="23.85" hidden="false" customHeight="false" outlineLevel="0" collapsed="false">
      <c r="A195" s="20" t="s">
        <v>722</v>
      </c>
      <c r="B195" s="20" t="n">
        <v>4</v>
      </c>
      <c r="C195" s="20" t="s">
        <v>72</v>
      </c>
      <c r="D195" s="20" t="s">
        <v>73</v>
      </c>
      <c r="E195" s="20" t="s">
        <v>717</v>
      </c>
      <c r="F195" s="20" t="s">
        <v>126</v>
      </c>
      <c r="G195" s="20" t="s">
        <v>723</v>
      </c>
      <c r="H195" s="20" t="s">
        <v>135</v>
      </c>
      <c r="I195" s="20" t="s">
        <v>126</v>
      </c>
      <c r="J195" s="20" t="s">
        <v>127</v>
      </c>
      <c r="K195" s="20" t="s">
        <v>724</v>
      </c>
    </row>
    <row r="196" customFormat="false" ht="23.85" hidden="false" customHeight="false" outlineLevel="0" collapsed="false">
      <c r="A196" s="20" t="s">
        <v>725</v>
      </c>
      <c r="B196" s="20" t="n">
        <v>3</v>
      </c>
      <c r="C196" s="20" t="s">
        <v>72</v>
      </c>
      <c r="D196" s="20" t="s">
        <v>73</v>
      </c>
      <c r="E196" s="20" t="s">
        <v>726</v>
      </c>
      <c r="F196" s="20" t="s">
        <v>139</v>
      </c>
      <c r="G196" s="20"/>
      <c r="H196" s="20"/>
      <c r="I196" s="20" t="s">
        <v>139</v>
      </c>
      <c r="J196" s="20" t="s">
        <v>140</v>
      </c>
      <c r="K196" s="20" t="s">
        <v>727</v>
      </c>
    </row>
    <row r="197" customFormat="false" ht="23.85" hidden="false" customHeight="false" outlineLevel="0" collapsed="false">
      <c r="A197" s="20" t="s">
        <v>728</v>
      </c>
      <c r="B197" s="20" t="n">
        <v>4</v>
      </c>
      <c r="C197" s="20" t="s">
        <v>72</v>
      </c>
      <c r="D197" s="20" t="s">
        <v>73</v>
      </c>
      <c r="E197" s="20" t="s">
        <v>726</v>
      </c>
      <c r="F197" s="20" t="s">
        <v>139</v>
      </c>
      <c r="G197" s="20" t="s">
        <v>729</v>
      </c>
      <c r="H197" s="20" t="s">
        <v>730</v>
      </c>
      <c r="I197" s="20" t="s">
        <v>139</v>
      </c>
      <c r="J197" s="20" t="s">
        <v>140</v>
      </c>
      <c r="K197" s="20" t="s">
        <v>731</v>
      </c>
    </row>
    <row r="198" customFormat="false" ht="23.85" hidden="false" customHeight="false" outlineLevel="0" collapsed="false">
      <c r="A198" s="20" t="s">
        <v>732</v>
      </c>
      <c r="B198" s="20" t="n">
        <v>4</v>
      </c>
      <c r="C198" s="20" t="s">
        <v>72</v>
      </c>
      <c r="D198" s="20" t="s">
        <v>73</v>
      </c>
      <c r="E198" s="20" t="s">
        <v>726</v>
      </c>
      <c r="F198" s="20" t="s">
        <v>139</v>
      </c>
      <c r="G198" s="20" t="s">
        <v>733</v>
      </c>
      <c r="H198" s="20" t="s">
        <v>734</v>
      </c>
      <c r="I198" s="20" t="s">
        <v>139</v>
      </c>
      <c r="J198" s="20" t="s">
        <v>140</v>
      </c>
      <c r="K198" s="20" t="s">
        <v>735</v>
      </c>
    </row>
    <row r="199" customFormat="false" ht="23.85" hidden="false" customHeight="false" outlineLevel="0" collapsed="false">
      <c r="A199" s="20" t="s">
        <v>736</v>
      </c>
      <c r="B199" s="20" t="n">
        <v>4</v>
      </c>
      <c r="C199" s="20" t="s">
        <v>72</v>
      </c>
      <c r="D199" s="20" t="s">
        <v>73</v>
      </c>
      <c r="E199" s="20" t="s">
        <v>726</v>
      </c>
      <c r="F199" s="20" t="s">
        <v>139</v>
      </c>
      <c r="G199" s="20" t="s">
        <v>737</v>
      </c>
      <c r="H199" s="20" t="s">
        <v>738</v>
      </c>
      <c r="I199" s="20" t="s">
        <v>139</v>
      </c>
      <c r="J199" s="20" t="s">
        <v>140</v>
      </c>
      <c r="K199" s="20" t="s">
        <v>739</v>
      </c>
    </row>
    <row r="200" customFormat="false" ht="35.05" hidden="false" customHeight="false" outlineLevel="0" collapsed="false">
      <c r="A200" s="20" t="s">
        <v>740</v>
      </c>
      <c r="B200" s="20" t="n">
        <v>3</v>
      </c>
      <c r="C200" s="20" t="s">
        <v>72</v>
      </c>
      <c r="D200" s="20" t="s">
        <v>73</v>
      </c>
      <c r="E200" s="20" t="s">
        <v>741</v>
      </c>
      <c r="F200" s="20" t="s">
        <v>156</v>
      </c>
      <c r="G200" s="20"/>
      <c r="H200" s="20"/>
      <c r="I200" s="20" t="s">
        <v>156</v>
      </c>
      <c r="J200" s="20" t="s">
        <v>157</v>
      </c>
      <c r="K200" s="20" t="s">
        <v>742</v>
      </c>
    </row>
    <row r="201" customFormat="false" ht="23.85" hidden="false" customHeight="false" outlineLevel="0" collapsed="false">
      <c r="A201" s="20" t="s">
        <v>743</v>
      </c>
      <c r="B201" s="20" t="n">
        <v>4</v>
      </c>
      <c r="C201" s="20" t="s">
        <v>72</v>
      </c>
      <c r="D201" s="20" t="s">
        <v>73</v>
      </c>
      <c r="E201" s="20" t="s">
        <v>741</v>
      </c>
      <c r="F201" s="20" t="s">
        <v>156</v>
      </c>
      <c r="G201" s="20" t="s">
        <v>744</v>
      </c>
      <c r="H201" s="20" t="s">
        <v>161</v>
      </c>
      <c r="I201" s="20" t="s">
        <v>156</v>
      </c>
      <c r="J201" s="20" t="s">
        <v>157</v>
      </c>
      <c r="K201" s="20" t="s">
        <v>745</v>
      </c>
    </row>
    <row r="202" customFormat="false" ht="35.05" hidden="false" customHeight="false" outlineLevel="0" collapsed="false">
      <c r="A202" s="20" t="s">
        <v>746</v>
      </c>
      <c r="B202" s="20" t="n">
        <v>3</v>
      </c>
      <c r="C202" s="20" t="s">
        <v>72</v>
      </c>
      <c r="D202" s="20" t="s">
        <v>73</v>
      </c>
      <c r="E202" s="20" t="s">
        <v>747</v>
      </c>
      <c r="F202" s="20" t="s">
        <v>165</v>
      </c>
      <c r="G202" s="20"/>
      <c r="H202" s="20"/>
      <c r="I202" s="20" t="s">
        <v>165</v>
      </c>
      <c r="J202" s="20" t="s">
        <v>166</v>
      </c>
      <c r="K202" s="20" t="s">
        <v>748</v>
      </c>
    </row>
    <row r="203" customFormat="false" ht="23.85" hidden="false" customHeight="false" outlineLevel="0" collapsed="false">
      <c r="A203" s="20" t="s">
        <v>749</v>
      </c>
      <c r="B203" s="20" t="n">
        <v>4</v>
      </c>
      <c r="C203" s="20" t="s">
        <v>72</v>
      </c>
      <c r="D203" s="20" t="s">
        <v>73</v>
      </c>
      <c r="E203" s="20" t="s">
        <v>747</v>
      </c>
      <c r="F203" s="20" t="s">
        <v>165</v>
      </c>
      <c r="G203" s="20" t="s">
        <v>750</v>
      </c>
      <c r="H203" s="20" t="s">
        <v>170</v>
      </c>
      <c r="I203" s="20" t="s">
        <v>165</v>
      </c>
      <c r="J203" s="20" t="s">
        <v>166</v>
      </c>
      <c r="K203" s="20" t="s">
        <v>751</v>
      </c>
    </row>
    <row r="204" customFormat="false" ht="23.85" hidden="false" customHeight="false" outlineLevel="0" collapsed="false">
      <c r="A204" s="20" t="s">
        <v>752</v>
      </c>
      <c r="B204" s="20" t="n">
        <v>4</v>
      </c>
      <c r="C204" s="20" t="s">
        <v>72</v>
      </c>
      <c r="D204" s="20" t="s">
        <v>73</v>
      </c>
      <c r="E204" s="20" t="s">
        <v>747</v>
      </c>
      <c r="F204" s="20" t="s">
        <v>165</v>
      </c>
      <c r="G204" s="20" t="s">
        <v>753</v>
      </c>
      <c r="H204" s="20" t="s">
        <v>174</v>
      </c>
      <c r="I204" s="20" t="s">
        <v>165</v>
      </c>
      <c r="J204" s="20" t="s">
        <v>166</v>
      </c>
      <c r="K204" s="20" t="s">
        <v>754</v>
      </c>
    </row>
    <row r="205" customFormat="false" ht="46.25" hidden="false" customHeight="false" outlineLevel="0" collapsed="false">
      <c r="A205" s="20" t="s">
        <v>755</v>
      </c>
      <c r="B205" s="20" t="n">
        <v>3</v>
      </c>
      <c r="C205" s="20" t="s">
        <v>74</v>
      </c>
      <c r="D205" s="20" t="s">
        <v>75</v>
      </c>
      <c r="E205" s="20" t="s">
        <v>756</v>
      </c>
      <c r="F205" s="20" t="s">
        <v>757</v>
      </c>
      <c r="G205" s="20"/>
      <c r="H205" s="20"/>
      <c r="I205" s="20" t="s">
        <v>100</v>
      </c>
      <c r="J205" s="20" t="s">
        <v>77</v>
      </c>
      <c r="K205" s="20" t="s">
        <v>758</v>
      </c>
    </row>
    <row r="206" customFormat="false" ht="35.05" hidden="false" customHeight="false" outlineLevel="0" collapsed="false">
      <c r="A206" s="20" t="s">
        <v>759</v>
      </c>
      <c r="B206" s="20" t="n">
        <v>4</v>
      </c>
      <c r="C206" s="20" t="s">
        <v>74</v>
      </c>
      <c r="D206" s="20" t="s">
        <v>75</v>
      </c>
      <c r="E206" s="20" t="s">
        <v>756</v>
      </c>
      <c r="F206" s="20" t="s">
        <v>757</v>
      </c>
      <c r="G206" s="20" t="s">
        <v>760</v>
      </c>
      <c r="H206" s="20" t="s">
        <v>761</v>
      </c>
      <c r="I206" s="20" t="s">
        <v>100</v>
      </c>
      <c r="J206" s="20" t="s">
        <v>77</v>
      </c>
      <c r="K206" s="20" t="s">
        <v>762</v>
      </c>
    </row>
    <row r="207" customFormat="false" ht="35.05" hidden="false" customHeight="false" outlineLevel="0" collapsed="false">
      <c r="A207" s="20" t="s">
        <v>763</v>
      </c>
      <c r="B207" s="20" t="n">
        <v>3</v>
      </c>
      <c r="C207" s="20" t="s">
        <v>74</v>
      </c>
      <c r="D207" s="20" t="s">
        <v>75</v>
      </c>
      <c r="E207" s="20" t="s">
        <v>764</v>
      </c>
      <c r="F207" s="20" t="s">
        <v>765</v>
      </c>
      <c r="G207" s="20"/>
      <c r="H207" s="20"/>
      <c r="I207" s="20" t="s">
        <v>113</v>
      </c>
      <c r="J207" s="20" t="s">
        <v>77</v>
      </c>
      <c r="K207" s="20" t="s">
        <v>766</v>
      </c>
    </row>
    <row r="208" customFormat="false" ht="35.05" hidden="false" customHeight="false" outlineLevel="0" collapsed="false">
      <c r="A208" s="20" t="s">
        <v>767</v>
      </c>
      <c r="B208" s="20" t="n">
        <v>4</v>
      </c>
      <c r="C208" s="20" t="s">
        <v>74</v>
      </c>
      <c r="D208" s="20" t="s">
        <v>75</v>
      </c>
      <c r="E208" s="20" t="s">
        <v>764</v>
      </c>
      <c r="F208" s="20" t="s">
        <v>765</v>
      </c>
      <c r="G208" s="20" t="s">
        <v>768</v>
      </c>
      <c r="H208" s="20" t="s">
        <v>769</v>
      </c>
      <c r="I208" s="20" t="s">
        <v>113</v>
      </c>
      <c r="J208" s="20" t="s">
        <v>77</v>
      </c>
      <c r="K208" s="20" t="s">
        <v>770</v>
      </c>
    </row>
    <row r="209" customFormat="false" ht="35.05" hidden="false" customHeight="false" outlineLevel="0" collapsed="false">
      <c r="A209" s="20" t="s">
        <v>771</v>
      </c>
      <c r="B209" s="20" t="n">
        <v>3</v>
      </c>
      <c r="C209" s="20" t="s">
        <v>74</v>
      </c>
      <c r="D209" s="20" t="s">
        <v>75</v>
      </c>
      <c r="E209" s="20" t="s">
        <v>772</v>
      </c>
      <c r="F209" s="20" t="s">
        <v>126</v>
      </c>
      <c r="G209" s="20"/>
      <c r="H209" s="20"/>
      <c r="I209" s="20" t="s">
        <v>126</v>
      </c>
      <c r="J209" s="20" t="s">
        <v>127</v>
      </c>
      <c r="K209" s="20" t="s">
        <v>773</v>
      </c>
    </row>
    <row r="210" customFormat="false" ht="35.05" hidden="false" customHeight="false" outlineLevel="0" collapsed="false">
      <c r="A210" s="20" t="s">
        <v>774</v>
      </c>
      <c r="B210" s="20" t="n">
        <v>4</v>
      </c>
      <c r="C210" s="20" t="s">
        <v>74</v>
      </c>
      <c r="D210" s="20" t="s">
        <v>75</v>
      </c>
      <c r="E210" s="20" t="s">
        <v>772</v>
      </c>
      <c r="F210" s="20" t="s">
        <v>126</v>
      </c>
      <c r="G210" s="20" t="s">
        <v>775</v>
      </c>
      <c r="H210" s="20" t="s">
        <v>776</v>
      </c>
      <c r="I210" s="20" t="s">
        <v>126</v>
      </c>
      <c r="J210" s="20" t="s">
        <v>127</v>
      </c>
      <c r="K210" s="20" t="s">
        <v>777</v>
      </c>
    </row>
    <row r="211" customFormat="false" ht="35.05" hidden="false" customHeight="false" outlineLevel="0" collapsed="false">
      <c r="A211" s="20" t="s">
        <v>778</v>
      </c>
      <c r="B211" s="20" t="n">
        <v>3</v>
      </c>
      <c r="C211" s="20" t="s">
        <v>74</v>
      </c>
      <c r="D211" s="20" t="s">
        <v>75</v>
      </c>
      <c r="E211" s="20" t="s">
        <v>779</v>
      </c>
      <c r="F211" s="20" t="s">
        <v>780</v>
      </c>
      <c r="G211" s="20"/>
      <c r="H211" s="20"/>
      <c r="I211" s="20" t="s">
        <v>139</v>
      </c>
      <c r="J211" s="20" t="s">
        <v>781</v>
      </c>
      <c r="K211" s="20" t="s">
        <v>782</v>
      </c>
    </row>
    <row r="212" customFormat="false" ht="35.05" hidden="false" customHeight="false" outlineLevel="0" collapsed="false">
      <c r="A212" s="20" t="s">
        <v>783</v>
      </c>
      <c r="B212" s="20" t="n">
        <v>4</v>
      </c>
      <c r="C212" s="20" t="s">
        <v>74</v>
      </c>
      <c r="D212" s="20" t="s">
        <v>75</v>
      </c>
      <c r="E212" s="20" t="s">
        <v>779</v>
      </c>
      <c r="F212" s="20" t="s">
        <v>780</v>
      </c>
      <c r="G212" s="20" t="s">
        <v>784</v>
      </c>
      <c r="H212" s="20" t="s">
        <v>785</v>
      </c>
      <c r="I212" s="20" t="s">
        <v>139</v>
      </c>
      <c r="J212" s="20" t="s">
        <v>781</v>
      </c>
      <c r="K212" s="20" t="s">
        <v>786</v>
      </c>
    </row>
    <row r="213" customFormat="false" ht="35.05" hidden="false" customHeight="false" outlineLevel="0" collapsed="false">
      <c r="A213" s="20" t="s">
        <v>787</v>
      </c>
      <c r="B213" s="20" t="n">
        <v>4</v>
      </c>
      <c r="C213" s="20" t="s">
        <v>74</v>
      </c>
      <c r="D213" s="20" t="s">
        <v>75</v>
      </c>
      <c r="E213" s="20" t="s">
        <v>779</v>
      </c>
      <c r="F213" s="20" t="s">
        <v>780</v>
      </c>
      <c r="G213" s="20" t="s">
        <v>788</v>
      </c>
      <c r="H213" s="20" t="s">
        <v>789</v>
      </c>
      <c r="I213" s="20" t="s">
        <v>139</v>
      </c>
      <c r="J213" s="20" t="s">
        <v>781</v>
      </c>
      <c r="K213" s="20" t="s">
        <v>790</v>
      </c>
    </row>
    <row r="214" customFormat="false" ht="35.05" hidden="false" customHeight="false" outlineLevel="0" collapsed="false">
      <c r="A214" s="20" t="s">
        <v>791</v>
      </c>
      <c r="B214" s="20" t="n">
        <v>3</v>
      </c>
      <c r="C214" s="20" t="s">
        <v>74</v>
      </c>
      <c r="D214" s="20" t="s">
        <v>75</v>
      </c>
      <c r="E214" s="20" t="s">
        <v>792</v>
      </c>
      <c r="F214" s="20" t="s">
        <v>793</v>
      </c>
      <c r="G214" s="20"/>
      <c r="H214" s="20"/>
      <c r="I214" s="20" t="s">
        <v>156</v>
      </c>
      <c r="J214" s="20" t="s">
        <v>77</v>
      </c>
      <c r="K214" s="20" t="s">
        <v>794</v>
      </c>
    </row>
    <row r="215" customFormat="false" ht="35.05" hidden="false" customHeight="false" outlineLevel="0" collapsed="false">
      <c r="A215" s="20" t="s">
        <v>795</v>
      </c>
      <c r="B215" s="20" t="n">
        <v>4</v>
      </c>
      <c r="C215" s="20" t="s">
        <v>74</v>
      </c>
      <c r="D215" s="20" t="s">
        <v>75</v>
      </c>
      <c r="E215" s="20" t="s">
        <v>792</v>
      </c>
      <c r="F215" s="20" t="s">
        <v>793</v>
      </c>
      <c r="G215" s="20" t="s">
        <v>796</v>
      </c>
      <c r="H215" s="20" t="s">
        <v>797</v>
      </c>
      <c r="I215" s="20" t="s">
        <v>156</v>
      </c>
      <c r="J215" s="20" t="s">
        <v>77</v>
      </c>
      <c r="K215" s="20" t="s">
        <v>798</v>
      </c>
    </row>
    <row r="216" customFormat="false" ht="35.05" hidden="false" customHeight="false" outlineLevel="0" collapsed="false">
      <c r="A216" s="20" t="s">
        <v>799</v>
      </c>
      <c r="B216" s="20" t="n">
        <v>3</v>
      </c>
      <c r="C216" s="20" t="s">
        <v>74</v>
      </c>
      <c r="D216" s="20" t="s">
        <v>75</v>
      </c>
      <c r="E216" s="20" t="s">
        <v>800</v>
      </c>
      <c r="F216" s="20" t="s">
        <v>165</v>
      </c>
      <c r="G216" s="20"/>
      <c r="H216" s="20"/>
      <c r="I216" s="20" t="s">
        <v>165</v>
      </c>
      <c r="J216" s="20" t="s">
        <v>77</v>
      </c>
      <c r="K216" s="20" t="s">
        <v>801</v>
      </c>
    </row>
    <row r="217" customFormat="false" ht="35.05" hidden="false" customHeight="false" outlineLevel="0" collapsed="false">
      <c r="A217" s="20" t="s">
        <v>802</v>
      </c>
      <c r="B217" s="20" t="n">
        <v>4</v>
      </c>
      <c r="C217" s="20" t="s">
        <v>74</v>
      </c>
      <c r="D217" s="20" t="s">
        <v>75</v>
      </c>
      <c r="E217" s="20" t="s">
        <v>800</v>
      </c>
      <c r="F217" s="20" t="s">
        <v>165</v>
      </c>
      <c r="G217" s="20" t="s">
        <v>803</v>
      </c>
      <c r="H217" s="20" t="s">
        <v>804</v>
      </c>
      <c r="I217" s="20" t="s">
        <v>165</v>
      </c>
      <c r="J217" s="20" t="s">
        <v>77</v>
      </c>
      <c r="K217" s="20" t="s">
        <v>805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20"/>
  </cols>
  <sheetData>
    <row r="1" customFormat="false" ht="17.35" hidden="false" customHeight="false" outlineLevel="0" collapsed="false">
      <c r="A1" s="4" t="s">
        <v>806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customFormat="false" ht="15" hidden="false" customHeight="false" outlineLevel="0" collapsed="false">
      <c r="A2" s="5" t="s">
        <v>807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customFormat="false" ht="15" hidden="false" customHeight="false" outlineLevel="0" collapsed="false">
      <c r="A4" s="6" t="s">
        <v>808</v>
      </c>
      <c r="B4" s="6" t="s">
        <v>23</v>
      </c>
      <c r="C4" s="6" t="s">
        <v>809</v>
      </c>
      <c r="D4" s="6" t="s">
        <v>810</v>
      </c>
      <c r="E4" s="6" t="s">
        <v>811</v>
      </c>
      <c r="F4" s="6" t="s">
        <v>812</v>
      </c>
      <c r="G4" s="6" t="s">
        <v>813</v>
      </c>
      <c r="H4" s="6" t="s">
        <v>814</v>
      </c>
      <c r="I4" s="6" t="s">
        <v>815</v>
      </c>
      <c r="J4" s="6" t="s">
        <v>816</v>
      </c>
      <c r="K4" s="6" t="s">
        <v>817</v>
      </c>
      <c r="L4" s="6" t="s">
        <v>818</v>
      </c>
      <c r="M4" s="6" t="s">
        <v>819</v>
      </c>
      <c r="N4" s="6" t="s">
        <v>820</v>
      </c>
      <c r="O4" s="6" t="s">
        <v>821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0"/>
  </cols>
  <sheetData>
    <row r="1" customFormat="false" ht="17.35" hidden="false" customHeight="false" outlineLevel="0" collapsed="false">
      <c r="A1" s="4" t="s">
        <v>822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false" outlineLevel="0" collapsed="false">
      <c r="A2" s="5" t="s">
        <v>823</v>
      </c>
      <c r="B2" s="5"/>
      <c r="C2" s="5"/>
      <c r="D2" s="5"/>
      <c r="E2" s="5"/>
      <c r="F2" s="5"/>
      <c r="G2" s="5"/>
      <c r="H2" s="5"/>
      <c r="I2" s="5"/>
    </row>
    <row r="4" customFormat="false" ht="26.85" hidden="false" customHeight="false" outlineLevel="0" collapsed="false">
      <c r="A4" s="6" t="s">
        <v>824</v>
      </c>
      <c r="B4" s="6" t="s">
        <v>23</v>
      </c>
      <c r="C4" s="6" t="s">
        <v>825</v>
      </c>
      <c r="D4" s="6" t="s">
        <v>826</v>
      </c>
      <c r="E4" s="6" t="s">
        <v>827</v>
      </c>
      <c r="F4" s="6" t="s">
        <v>828</v>
      </c>
      <c r="G4" s="6" t="s">
        <v>829</v>
      </c>
      <c r="H4" s="6" t="s">
        <v>830</v>
      </c>
      <c r="I4" s="6" t="s">
        <v>831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0"/>
  </cols>
  <sheetData>
    <row r="1" customFormat="false" ht="17.35" hidden="false" customHeight="false" outlineLevel="0" collapsed="false">
      <c r="A1" s="4" t="s">
        <v>832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false" outlineLevel="0" collapsed="false">
      <c r="A2" s="5" t="s">
        <v>833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customFormat="false" ht="15" hidden="false" customHeight="false" outlineLevel="0" collapsed="false">
      <c r="A4" s="6" t="s">
        <v>23</v>
      </c>
      <c r="B4" s="6" t="s">
        <v>27</v>
      </c>
      <c r="C4" s="6" t="s">
        <v>834</v>
      </c>
      <c r="D4" s="6" t="s">
        <v>835</v>
      </c>
      <c r="E4" s="6" t="s">
        <v>836</v>
      </c>
      <c r="F4" s="6" t="s">
        <v>837</v>
      </c>
      <c r="G4" s="6" t="s">
        <v>838</v>
      </c>
      <c r="H4" s="6" t="s">
        <v>839</v>
      </c>
      <c r="I4" s="6" t="s">
        <v>840</v>
      </c>
      <c r="J4" s="6" t="s">
        <v>841</v>
      </c>
      <c r="K4" s="6" t="s">
        <v>842</v>
      </c>
      <c r="L4" s="6" t="s">
        <v>843</v>
      </c>
      <c r="M4" s="6" t="s">
        <v>844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20"/>
  </cols>
  <sheetData>
    <row r="1" customFormat="false" ht="17.35" hidden="false" customHeight="false" outlineLevel="0" collapsed="false">
      <c r="A1" s="4" t="s">
        <v>845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customFormat="false" ht="15" hidden="false" customHeight="false" outlineLevel="0" collapsed="false">
      <c r="A2" s="5" t="s">
        <v>846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customFormat="false" ht="26.85" hidden="false" customHeight="false" outlineLevel="0" collapsed="false">
      <c r="A4" s="6" t="s">
        <v>847</v>
      </c>
      <c r="B4" s="6" t="s">
        <v>23</v>
      </c>
      <c r="C4" s="6" t="s">
        <v>848</v>
      </c>
      <c r="D4" s="6" t="s">
        <v>849</v>
      </c>
      <c r="E4" s="6" t="s">
        <v>850</v>
      </c>
      <c r="F4" s="6" t="s">
        <v>851</v>
      </c>
      <c r="G4" s="6" t="s">
        <v>852</v>
      </c>
      <c r="H4" s="6" t="s">
        <v>853</v>
      </c>
      <c r="I4" s="6" t="s">
        <v>854</v>
      </c>
      <c r="J4" s="6" t="s">
        <v>855</v>
      </c>
      <c r="K4" s="6" t="s">
        <v>856</v>
      </c>
      <c r="L4" s="6" t="s">
        <v>857</v>
      </c>
      <c r="M4" s="6" t="s">
        <v>858</v>
      </c>
      <c r="N4" s="6" t="s">
        <v>859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20"/>
  </cols>
  <sheetData>
    <row r="1" customFormat="false" ht="17.35" hidden="false" customHeight="false" outlineLevel="0" collapsed="false">
      <c r="A1" s="4" t="s">
        <v>860</v>
      </c>
      <c r="B1" s="4"/>
      <c r="C1" s="4"/>
      <c r="D1" s="4"/>
      <c r="E1" s="4"/>
      <c r="F1" s="4"/>
      <c r="G1" s="4"/>
      <c r="H1" s="4"/>
      <c r="I1" s="4"/>
      <c r="J1" s="4"/>
    </row>
    <row r="2" customFormat="false" ht="15" hidden="false" customHeight="false" outlineLevel="0" collapsed="false">
      <c r="A2" s="5" t="s">
        <v>861</v>
      </c>
      <c r="B2" s="5"/>
      <c r="C2" s="5"/>
      <c r="D2" s="5"/>
      <c r="E2" s="5"/>
      <c r="F2" s="5"/>
      <c r="G2" s="5"/>
      <c r="H2" s="5"/>
      <c r="I2" s="5"/>
      <c r="J2" s="5"/>
    </row>
    <row r="4" customFormat="false" ht="26.85" hidden="false" customHeight="false" outlineLevel="0" collapsed="false">
      <c r="A4" s="6" t="s">
        <v>862</v>
      </c>
      <c r="B4" s="6" t="s">
        <v>23</v>
      </c>
      <c r="C4" s="6" t="s">
        <v>863</v>
      </c>
      <c r="D4" s="6" t="s">
        <v>864</v>
      </c>
      <c r="E4" s="6" t="s">
        <v>865</v>
      </c>
      <c r="F4" s="6" t="s">
        <v>866</v>
      </c>
      <c r="G4" s="6" t="s">
        <v>867</v>
      </c>
      <c r="H4" s="6" t="s">
        <v>868</v>
      </c>
      <c r="I4" s="6" t="s">
        <v>869</v>
      </c>
      <c r="J4" s="6" t="s">
        <v>870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0"/>
  </cols>
  <sheetData>
    <row r="1" customFormat="false" ht="17.35" hidden="false" customHeight="false" outlineLevel="0" collapsed="false">
      <c r="A1" s="4" t="s">
        <v>871</v>
      </c>
      <c r="B1" s="4"/>
      <c r="C1" s="4"/>
      <c r="D1" s="4"/>
      <c r="E1" s="4"/>
    </row>
    <row r="2" customFormat="false" ht="15" hidden="false" customHeight="false" outlineLevel="0" collapsed="false">
      <c r="A2" s="5" t="s">
        <v>872</v>
      </c>
      <c r="B2" s="5"/>
      <c r="C2" s="5"/>
      <c r="D2" s="5"/>
      <c r="E2" s="5"/>
    </row>
    <row r="4" customFormat="false" ht="15" hidden="false" customHeight="false" outlineLevel="0" collapsed="false">
      <c r="A4" s="6" t="s">
        <v>824</v>
      </c>
      <c r="B4" s="6" t="s">
        <v>23</v>
      </c>
      <c r="C4" s="6" t="s">
        <v>873</v>
      </c>
      <c r="D4" s="6" t="s">
        <v>874</v>
      </c>
      <c r="E4" s="6" t="s">
        <v>875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0"/>
  </cols>
  <sheetData>
    <row r="1" customFormat="false" ht="17.35" hidden="false" customHeight="false" outlineLevel="0" collapsed="false">
      <c r="A1" s="4" t="s">
        <v>876</v>
      </c>
      <c r="B1" s="4"/>
      <c r="C1" s="4"/>
      <c r="D1" s="4"/>
      <c r="E1" s="4"/>
      <c r="F1" s="4"/>
      <c r="G1" s="4"/>
    </row>
    <row r="2" customFormat="false" ht="15" hidden="false" customHeight="false" outlineLevel="0" collapsed="false">
      <c r="A2" s="5" t="s">
        <v>877</v>
      </c>
      <c r="B2" s="5"/>
      <c r="C2" s="5"/>
      <c r="D2" s="5"/>
      <c r="E2" s="5"/>
      <c r="F2" s="5"/>
      <c r="G2" s="5"/>
    </row>
    <row r="4" customFormat="false" ht="15" hidden="false" customHeight="false" outlineLevel="0" collapsed="false">
      <c r="A4" s="6" t="s">
        <v>878</v>
      </c>
      <c r="B4" s="6" t="s">
        <v>879</v>
      </c>
      <c r="C4" s="6" t="s">
        <v>873</v>
      </c>
      <c r="D4" s="6" t="s">
        <v>23</v>
      </c>
      <c r="E4" s="6" t="s">
        <v>880</v>
      </c>
      <c r="F4" s="6" t="s">
        <v>859</v>
      </c>
      <c r="G4" s="6" t="s">
        <v>881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</cols>
  <sheetData>
    <row r="1" customFormat="false" ht="17.35" hidden="false" customHeight="false" outlineLevel="0" collapsed="false">
      <c r="A1" s="4" t="s">
        <v>882</v>
      </c>
      <c r="B1" s="4"/>
      <c r="C1" s="4"/>
      <c r="D1" s="4"/>
      <c r="E1" s="4"/>
      <c r="F1" s="4"/>
      <c r="G1" s="4"/>
      <c r="H1" s="4"/>
    </row>
    <row r="2" customFormat="false" ht="15" hidden="false" customHeight="false" outlineLevel="0" collapsed="false">
      <c r="A2" s="5" t="s">
        <v>883</v>
      </c>
      <c r="B2" s="5"/>
      <c r="C2" s="5"/>
      <c r="D2" s="5"/>
      <c r="E2" s="5"/>
      <c r="F2" s="5"/>
      <c r="G2" s="5"/>
      <c r="H2" s="5"/>
    </row>
    <row r="4" customFormat="false" ht="15" hidden="false" customHeight="false" outlineLevel="0" collapsed="false">
      <c r="A4" s="6" t="s">
        <v>884</v>
      </c>
      <c r="B4" s="6" t="s">
        <v>23</v>
      </c>
      <c r="C4" s="6" t="s">
        <v>885</v>
      </c>
      <c r="D4" s="6" t="s">
        <v>886</v>
      </c>
      <c r="E4" s="6" t="s">
        <v>887</v>
      </c>
      <c r="F4" s="6" t="s">
        <v>888</v>
      </c>
      <c r="G4" s="6" t="s">
        <v>889</v>
      </c>
      <c r="H4" s="6" t="s">
        <v>859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0"/>
  </cols>
  <sheetData>
    <row r="1" customFormat="false" ht="17.35" hidden="false" customHeight="false" outlineLevel="0" collapsed="false">
      <c r="A1" s="4" t="s">
        <v>890</v>
      </c>
      <c r="B1" s="4"/>
      <c r="C1" s="4"/>
      <c r="D1" s="4"/>
    </row>
    <row r="2" customFormat="false" ht="15" hidden="false" customHeight="false" outlineLevel="0" collapsed="false">
      <c r="A2" s="5" t="s">
        <v>891</v>
      </c>
      <c r="B2" s="5"/>
      <c r="C2" s="5"/>
      <c r="D2" s="5"/>
    </row>
    <row r="4" customFormat="false" ht="15" hidden="false" customHeight="false" outlineLevel="0" collapsed="false">
      <c r="A4" s="6" t="s">
        <v>892</v>
      </c>
      <c r="B4" s="6" t="s">
        <v>893</v>
      </c>
      <c r="C4" s="6" t="s">
        <v>894</v>
      </c>
      <c r="D4" s="6" t="s">
        <v>895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0"/>
  </cols>
  <sheetData>
    <row r="1" customFormat="false" ht="17.35" hidden="false" customHeight="false" outlineLevel="0" collapsed="false">
      <c r="A1" s="4" t="s">
        <v>896</v>
      </c>
      <c r="B1" s="4"/>
      <c r="C1" s="4"/>
      <c r="D1" s="4"/>
    </row>
    <row r="2" customFormat="false" ht="15" hidden="false" customHeight="false" outlineLevel="0" collapsed="false">
      <c r="A2" s="5" t="s">
        <v>897</v>
      </c>
      <c r="B2" s="5"/>
      <c r="C2" s="5"/>
      <c r="D2" s="5"/>
    </row>
    <row r="4" customFormat="false" ht="15" hidden="false" customHeight="false" outlineLevel="0" collapsed="false">
      <c r="A4" s="6" t="s">
        <v>898</v>
      </c>
      <c r="B4" s="6" t="s">
        <v>899</v>
      </c>
      <c r="C4" s="6" t="s">
        <v>900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2026-09-15T16:52:26Z</dcterms:created>
  <dc:creator>openpyxl</dc:creator>
  <dc:description/>
  <dc:language>en-US</dc:language>
  <cp:lastModifiedBy/>
  <dcterms:modified xsi:type="dcterms:W3CDTF">2026-09-15T16:52:27Z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