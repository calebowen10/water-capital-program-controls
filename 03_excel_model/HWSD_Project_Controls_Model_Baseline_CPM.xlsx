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c48cef887a141e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README" sheetId="1" r:id="Rfcba018e04e54c09"/>
    <x:sheet xmlns:r="http://schemas.openxmlformats.org/officeDocument/2006/relationships" name="01_PROJECTS" sheetId="2" r:id="R5d7531fd54a04110"/>
    <x:sheet xmlns:r="http://schemas.openxmlformats.org/officeDocument/2006/relationships" name="02_WBS" sheetId="3" r:id="R1ddbe4e3442b4018"/>
    <x:sheet xmlns:r="http://schemas.openxmlformats.org/officeDocument/2006/relationships" name="03_SCHEDULE" sheetId="4" r:id="R7fdd62c9c8244378"/>
    <x:sheet xmlns:r="http://schemas.openxmlformats.org/officeDocument/2006/relationships" name="04_MONTHLY_COSTS" sheetId="5" r:id="R46646a67c2f841b6"/>
    <x:sheet xmlns:r="http://schemas.openxmlformats.org/officeDocument/2006/relationships" name="05_EVM" sheetId="6" r:id="Re229219c7ac449a8"/>
    <x:sheet xmlns:r="http://schemas.openxmlformats.org/officeDocument/2006/relationships" name="06_RISKS" sheetId="7" r:id="Rd0b9a4389ada42f6"/>
    <x:sheet xmlns:r="http://schemas.openxmlformats.org/officeDocument/2006/relationships" name="07_CHANGES" sheetId="8" r:id="R056552ead65b4f60"/>
    <x:sheet xmlns:r="http://schemas.openxmlformats.org/officeDocument/2006/relationships" name="08_RESOURCES" sheetId="9" r:id="Rf862b48293b64ba2"/>
    <x:sheet xmlns:r="http://schemas.openxmlformats.org/officeDocument/2006/relationships" name="09_VENDORS" sheetId="10" r:id="Raf0e52ff95804712"/>
    <x:sheet xmlns:r="http://schemas.openxmlformats.org/officeDocument/2006/relationships" name="10_MILESTONES" sheetId="11" r:id="R0db4e8516a1c49f0"/>
    <x:sheet xmlns:r="http://schemas.openxmlformats.org/officeDocument/2006/relationships" name="11_KPI_THRESHOLDS" sheetId="12" r:id="R4e4707bea1994195"/>
    <x:sheet xmlns:r="http://schemas.openxmlformats.org/officeDocument/2006/relationships" name="12_DASHBOARD_DATA" sheetId="13" r:id="R321d4af2c3ef4516"/>
    <x:sheet xmlns:r="http://schemas.openxmlformats.org/officeDocument/2006/relationships" name="03_SCHEDULE_RELATIONSHIPS" sheetId="14" r:id="Ra64e1873b8874c4d"/>
    <x:sheet xmlns:r="http://schemas.openxmlformats.org/officeDocument/2006/relationships" name="SCHEDULE_VERSION_LOG" sheetId="15" r:id="R992b197b3ede47c4"/>
    <x:sheet xmlns:r="http://schemas.openxmlformats.org/officeDocument/2006/relationships" name="RESOURCE_ASSUMPTIONS" sheetId="16" r:id="R05108a352b64488c"/>
    <x:sheet xmlns:r="http://schemas.openxmlformats.org/officeDocument/2006/relationships" name="SCHEDULE_RECONCILIATION" sheetId="17" r:id="R5baacd5aab8d482d"/>
    <x:sheet xmlns:r="http://schemas.openxmlformats.org/officeDocument/2006/relationships" name="CPM_METHOD" sheetId="18" r:id="R40506871896446b1"/>
    <x:sheet xmlns:r="http://schemas.openxmlformats.org/officeDocument/2006/relationships" name="CPM_SUMMARY" sheetId="19" r:id="R65c4d489931e4839"/>
  </x:sheets>
</x:workbook>
</file>

<file path=xl/sharedStrings.xml><?xml version="1.0" encoding="utf-8"?>
<x:sst xmlns:x="http://schemas.openxmlformats.org/spreadsheetml/2006/main">
  <x:si>
    <x:t xml:space="preserve">HWSD_Project_Controls_Model.xlsx</x:t>
  </x:si>
  <x:si>
    <x:t xml:space="preserve">Source-of-truth project-controls workbook for the HWSD Municipal Water Capital Improvement Program (simulated).</x:t>
  </x:si>
  <x:si>
    <x:t xml:space="preserve">Project BAC total (P01-P12): $88,500,000  |  Program contingency reserve: $7,500,000</x:t>
  </x:si>
  <x:si>
    <x:t xml:space="preserve">Total program authorization: $96,000,000  |  12 projects  |  36-month program (Jan 2025 - Dec 2027)</x:t>
  </x:si>
  <x:si>
    <x:t xml:space="preserve">Status date (all PV/EV/AC/schedule status is measured as of this date): March 31, 2026 (Month 15 of 36)</x:t>
  </x:si>
  <x:si>
    <x:t xml:space="preserve">IMPORTANT: For all Earned Value Management calculations (Phase 4), 'program BAC' means the</x:t>
  </x:si>
  <x:si>
    <x:t xml:space="preserve">$88,500,000 project BAC total, NOT the $96,000,000 total authorization. The $7,500,000</x:t>
  </x:si>
  <x:si>
    <x:t xml:space="preserve">contingency reserve is unallocated and only enters the model through an approved change</x:t>
  </x:si>
  <x:si>
    <x:t xml:space="preserve">(07_CHANGES tab), at which point it is drawn down and the receiving project's BAC increases.</x:t>
  </x:si>
  <x:si>
    <x:t xml:space="preserve">Build status: Phase 1 complete (01_PROJECTS). All other tabs are structural shells only —</x:t>
  </x:si>
  <x:si>
    <x:t xml:space="preserve">column headers are final, but data has not yet been entered. Each phase of the build populates</x:t>
  </x:si>
  <x:si>
    <x:t xml:space="preserve">the next tab(s). See the repository README for the full phase sequence.</x:t>
  </x:si>
  <x:si>
    <x:t xml:space="preserve">Conventions used throughout this workbook:</x:t>
  </x:si>
  <x:si>
    <x:t xml:space="preserve">  - Blue font = hardcoded input. Black font = formula. Do not hand-edit formula cells.</x:t>
  </x:si>
  <x:si>
    <x:t xml:space="preserve">  - All dollar figures are in whole USD.</x:t>
  </x:si>
  <x:si>
    <x:t xml:space="preserve">  - project_id is the join key across every sheet in this workbook and every CSV in /02_data.</x:t>
  </x:si>
  <x:si>
    <x:t xml:space="preserve">  - This workbook is the controlled source of truth. Power BI and Python read from exports</x:t>
  </x:si>
  <x:si>
    <x:t xml:space="preserve">    of this workbook or from /02_data/processed — they do not maintain independent copies of</x:t>
  </x:si>
  <x:si>
    <x:t xml:space="preserve">    baseline data.</x:t>
  </x:si>
  <x:si>
    <x:t xml:space="preserve">All program, project, cost, schedule, risk, and vendor data in this workbook is synthetic</x:t>
  </x:si>
  <x:si>
    <x:t xml:space="preserve">and created for portfolio demonstration purposes only.</x:t>
  </x:si>
  <x:si>
    <x:t xml:space="preserve">Project Master List</x:t>
  </x:si>
  <x:si>
    <x:t xml:space="preserve">One row per project. project_id is the join key used across every other sheet and CSV in this repository.</x:t>
  </x:si>
  <x:si>
    <x:t xml:space="preserve">project_id</x:t>
  </x:si>
  <x:si>
    <x:t xml:space="preserve">project_name</x:t>
  </x:si>
  <x:si>
    <x:t xml:space="preserve">category</x:t>
  </x:si>
  <x:si>
    <x:t xml:space="preserve">project_manager</x:t>
  </x:si>
  <x:si>
    <x:t xml:space="preserve">bac</x:t>
  </x:si>
  <x:si>
    <x:t xml:space="preserve">pct_of_project_bac_total</x:t>
  </x:si>
  <x:si>
    <x:t xml:space="preserve">planned_start</x:t>
  </x:si>
  <x:si>
    <x:t xml:space="preserve">planned_finish</x:t>
  </x:si>
  <x:si>
    <x:t xml:space="preserve">planned_duration_months</x:t>
  </x:si>
  <x:si>
    <x:t xml:space="preserve">status_as_of_status_date</x:t>
  </x:si>
  <x:si>
    <x:t xml:space="preserve">P01</x:t>
  </x:si>
  <x:si>
    <x:t xml:space="preserve">Downtown 12-inch Water Main Replacement</x:t>
  </x:si>
  <x:si>
    <x:t xml:space="preserve">Distribution</x:t>
  </x:si>
  <x:si>
    <x:t xml:space="preserve">Maria Chen</x:t>
  </x:si>
  <x:si>
    <x:t xml:space="preserve">Substantially Complete</x:t>
  </x:si>
  <x:si>
    <x:t xml:space="preserve">P02</x:t>
  </x:si>
  <x:si>
    <x:t xml:space="preserve">Northside Pump Station Rehabilitation</x:t>
  </x:si>
  <x:si>
    <x:t xml:space="preserve">Pumping</x:t>
  </x:si>
  <x:si>
    <x:t xml:space="preserve">David Okafor</x:t>
  </x:si>
  <x:si>
    <x:t xml:space="preserve">In Construction</x:t>
  </x:si>
  <x:si>
    <x:t xml:space="preserve">P03</x:t>
  </x:si>
  <x:si>
    <x:t xml:space="preserve">Central Water Treatment Plant Process Upgrade</x:t>
  </x:si>
  <x:si>
    <x:t xml:space="preserve">Treatment</x:t>
  </x:si>
  <x:si>
    <x:t xml:space="preserve">Sarah Whitfield</x:t>
  </x:si>
  <x:si>
    <x:t xml:space="preserve">P04</x:t>
  </x:si>
  <x:si>
    <x:t xml:space="preserve">Hilltop Storage Tank Rehabilitation</x:t>
  </x:si>
  <x:si>
    <x:t xml:space="preserve">Storage</x:t>
  </x:si>
  <x:si>
    <x:t xml:space="preserve">James Patel</x:t>
  </x:si>
  <x:si>
    <x:t xml:space="preserve">P05</x:t>
  </x:si>
  <x:si>
    <x:t xml:space="preserve">Lead Service Line Replacement - Phase 1</x:t>
  </x:si>
  <x:si>
    <x:t xml:space="preserve">Distribution / Public Health</x:t>
  </x:si>
  <x:si>
    <x:t xml:space="preserve">P06</x:t>
  </x:si>
  <x:si>
    <x:t xml:space="preserve">AMI / Smart Meter Modernization</x:t>
  </x:si>
  <x:si>
    <x:t xml:space="preserve">Metering / Digital</x:t>
  </x:si>
  <x:si>
    <x:t xml:space="preserve">Angela Torres</x:t>
  </x:si>
  <x:si>
    <x:t xml:space="preserve">P07</x:t>
  </x:si>
  <x:si>
    <x:t xml:space="preserve">East Zone Pressure Management Improvements</x:t>
  </x:si>
  <x:si>
    <x:t xml:space="preserve">Robert Kim</x:t>
  </x:si>
  <x:si>
    <x:t xml:space="preserve">P08</x:t>
  </x:si>
  <x:si>
    <x:t xml:space="preserve">Emergency Generator &amp; Electrical Resiliency</x:t>
  </x:si>
  <x:si>
    <x:t xml:space="preserve">Resiliency</x:t>
  </x:si>
  <x:si>
    <x:t xml:space="preserve">Design / Early Construction</x:t>
  </x:si>
  <x:si>
    <x:t xml:space="preserve">P09</x:t>
  </x:si>
  <x:si>
    <x:t xml:space="preserve">River Crossing Main Rehabilitation</x:t>
  </x:si>
  <x:si>
    <x:t xml:space="preserve">Mobilization / Early Construction</x:t>
  </x:si>
  <x:si>
    <x:t xml:space="preserve">P10</x:t>
  </x:si>
  <x:si>
    <x:t xml:space="preserve">SCADA Controls Modernization</x:t>
  </x:si>
  <x:si>
    <x:t xml:space="preserve">Digital / Controls</x:t>
  </x:si>
  <x:si>
    <x:t xml:space="preserve">Planning / Not Started</x:t>
  </x:si>
  <x:si>
    <x:t xml:space="preserve">P11</x:t>
  </x:si>
  <x:si>
    <x:t xml:space="preserve">Valve Replacement &amp; Isolation Program</x:t>
  </x:si>
  <x:si>
    <x:t xml:space="preserve">P12</x:t>
  </x:si>
  <x:si>
    <x:t xml:space="preserve">Programwide Small Capital &amp; Emergency Response Improvements</x:t>
  </x:si>
  <x:si>
    <x:t xml:space="preserve">Small Capital &amp; Emergency Response</x:t>
  </x:si>
  <x:si>
    <x:t xml:space="preserve">Program Controls Office</x:t>
  </x:si>
  <x:si>
    <x:t xml:space="preserve">Ongoing / As-Needed</x:t>
  </x:si>
  <x:si>
    <x:t xml:space="preserve">PROJECT BAC TOTAL (P01-P12)</x:t>
  </x:si>
  <x:si>
    <x:t xml:space="preserve">Program Contingency Reserve (not a project; held at program level)</x:t>
  </x:si>
  <x:si>
    <x:t xml:space="preserve">TOTAL PROGRAM AUTHORIZATION</x:t>
  </x:si>
  <x:si>
    <x:t xml:space="preserve">QA checks:</x:t>
  </x:si>
  <x:si>
    <x:t xml:space="preserve">Note:</x:t>
  </x:si>
  <x:si>
    <x:t xml:space="preserve">P12 (Programwide Small Capital &amp; Emergency Response Improvements) is real, planned, scoped standing capital work with its own BAC, included in the $88.5M project total above. It is NOT the program contingency reserve. Truly unplanned/unscoped changes draw from the $7.5M program contingency reserve via an approved change request (07_CHANGES), not from P12.</x:t>
  </x:si>
  <x:si>
    <x:t xml:space="preserve">Work Breakdown Structure</x:t>
  </x:si>
  <x:si>
    <x:t xml:space="preserve">Level 3 = Control Account (receives its own allocated BAC/PV/EV/AC in Phase 4; project BAC rolls up from its control accounts). Level 4 = Work Package (schedule activities in Phase 2 will attach here). Standard_Lifecycle_Phase maps every control account - including P12's differently-worded phases - back to one of six portfolio-wide categories for Power BI rollups.</x:t>
  </x:si>
  <x:si>
    <x:t xml:space="preserve">WBS_Code</x:t>
  </x:si>
  <x:si>
    <x:t xml:space="preserve">WBS_Level</x:t>
  </x:si>
  <x:si>
    <x:t xml:space="preserve">Project_ID</x:t>
  </x:si>
  <x:si>
    <x:t xml:space="preserve">Project_Name</x:t>
  </x:si>
  <x:si>
    <x:t xml:space="preserve">Control_Account_ID</x:t>
  </x:si>
  <x:si>
    <x:t xml:space="preserve">Control_Account_Name</x:t>
  </x:si>
  <x:si>
    <x:t xml:space="preserve">Work_Package_ID</x:t>
  </x:si>
  <x:si>
    <x:t xml:space="preserve">Work_Package_Name</x:t>
  </x:si>
  <x:si>
    <x:t xml:space="preserve">Standard_Lifecycle_Phase</x:t>
  </x:si>
  <x:si>
    <x:t xml:space="preserve">Responsible_Role</x:t>
  </x:si>
  <x:si>
    <x:t xml:space="preserve">Description</x:t>
  </x:si>
  <x:si>
    <x:t xml:space="preserve">1.01.1</x:t>
  </x:si>
  <x:si>
    <x:t xml:space="preserve">P01-CA01</x:t>
  </x:si>
  <x:si>
    <x:t xml:space="preserve">Planning</x:t>
  </x:si>
  <x:si>
    <x:t xml:space="preserve">Program Controls / Planning Lead</x:t>
  </x:si>
  <x:si>
    <x:t xml:space="preserve">Planning phase for Downtown 12-inch Water Main Replacement: confirm scope, budget, and regulatory requirements, and align with the overall program schedule.</x:t>
  </x:si>
  <x:si>
    <x:t xml:space="preserve">1.01.1.1</x:t>
  </x:si>
  <x:si>
    <x:t xml:space="preserve">P01-WP011</x:t>
  </x:si>
  <x:si>
    <x:t xml:space="preserve">Needs Assessment</x:t>
  </x:si>
  <x:si>
    <x:t xml:space="preserve">Confirm the justification, condition assessment, and need for Downtown 12-inch Water Main Replacement.</x:t>
  </x:si>
  <x:si>
    <x:t xml:space="preserve">1.01.1.2</x:t>
  </x:si>
  <x:si>
    <x:t xml:space="preserve">P01-WP012</x:t>
  </x:si>
  <x:si>
    <x:t xml:space="preserve">Project Definition</x:t>
  </x:si>
  <x:si>
    <x:t xml:space="preserve">Finalize scope boundaries, success criteria, and program alignment for Downtown 12-inch Water Main Replacement.</x:t>
  </x:si>
  <x:si>
    <x:t xml:space="preserve">1.01.2</x:t>
  </x:si>
  <x:si>
    <x:t xml:space="preserve">P01-CA02</x:t>
  </x:si>
  <x:si>
    <x:t xml:space="preserve">Design</x:t>
  </x:si>
  <x:si>
    <x:t xml:space="preserve">Design Engineer (Consultant)</x:t>
  </x:si>
  <x:si>
    <x:t xml:space="preserve">Design phase for Downtown 12-inch Water Main Replacement: develop and finalize engineering design to support procurement and construction.</x:t>
  </x:si>
  <x:si>
    <x:t xml:space="preserve">1.01.2.1</x:t>
  </x:si>
  <x:si>
    <x:t xml:space="preserve">P01-WP021</x:t>
  </x:si>
  <x:si>
    <x:t xml:space="preserve">Preliminary Design (30%)</x:t>
  </x:si>
  <x:si>
    <x:t xml:space="preserve">Develop preliminary (~30%) design concepts and basis of design for Downtown 12-inch Water Main Replacement.</x:t>
  </x:si>
  <x:si>
    <x:t xml:space="preserve">1.01.2.2</x:t>
  </x:si>
  <x:si>
    <x:t xml:space="preserve">P01-WP022</x:t>
  </x:si>
  <x:si>
    <x:t xml:space="preserve">Final Design (100%)</x:t>
  </x:si>
  <x:si>
    <x:t xml:space="preserve">Complete final (100%) design documents and specifications for Downtown 12-inch Water Main Replacement.</x:t>
  </x:si>
  <x:si>
    <x:t xml:space="preserve">1.01.3</x:t>
  </x:si>
  <x:si>
    <x:t xml:space="preserve">P01-CA03</x:t>
  </x:si>
  <x:si>
    <x:t xml:space="preserve">Procurement</x:t>
  </x:si>
  <x:si>
    <x:t xml:space="preserve">Procurement &amp; Contracts Lead</x:t>
  </x:si>
  <x:si>
    <x:t xml:space="preserve">Procurement phase for Downtown 12-inch Water Main Replacement: solicit, award, and execute construction and/or equipment contracts.</x:t>
  </x:si>
  <x:si>
    <x:t xml:space="preserve">1.01.3.1</x:t>
  </x:si>
  <x:si>
    <x:t xml:space="preserve">P01-WP031</x:t>
  </x:si>
  <x:si>
    <x:t xml:space="preserve">Bid Package &amp; Solicitation</x:t>
  </x:si>
  <x:si>
    <x:t xml:space="preserve">Prepare bid documents and solicit contractor/vendor proposals for Downtown 12-inch Water Main Replacement.</x:t>
  </x:si>
  <x:si>
    <x:t xml:space="preserve">1.01.3.2</x:t>
  </x:si>
  <x:si>
    <x:t xml:space="preserve">P01-WP032</x:t>
  </x:si>
  <x:si>
    <x:t xml:space="preserve">Award &amp; Mobilization</x:t>
  </x:si>
  <x:si>
    <x:t xml:space="preserve">Award the contract and mobilize the contractor/vendor for Downtown 12-inch Water Main Replacement.</x:t>
  </x:si>
  <x:si>
    <x:t xml:space="preserve">1.01.4</x:t>
  </x:si>
  <x:si>
    <x:t xml:space="preserve">P01-CA04</x:t>
  </x:si>
  <x:si>
    <x:t xml:space="preserve">Construction</x:t>
  </x:si>
  <x:si>
    <x:t xml:space="preserve">Construction Manager / Contractor</x:t>
  </x:si>
  <x:si>
    <x:t xml:space="preserve">Construction phase for Downtown 12-inch Water Main Replacement: execute physical construction, installation, or implementation work.</x:t>
  </x:si>
  <x:si>
    <x:t xml:space="preserve">1.01.4.1</x:t>
  </x:si>
  <x:si>
    <x:t xml:space="preserve">P01-WP041</x:t>
  </x:si>
  <x:si>
    <x:t xml:space="preserve">Pipe Installation &amp; Jointing</x:t>
  </x:si>
  <x:si>
    <x:t xml:space="preserve">Excavate, lay, and joint new 12-inch ductile iron water main along the downtown corridor route.</x:t>
  </x:si>
  <x:si>
    <x:t xml:space="preserve">1.01.4.2</x:t>
  </x:si>
  <x:si>
    <x:t xml:space="preserve">P01-WP042</x:t>
  </x:si>
  <x:si>
    <x:t xml:space="preserve">Valve &amp; Hydrant Tie-Ins</x:t>
  </x:si>
  <x:si>
    <x:t xml:space="preserve">Install new isolation valves and fire hydrant connections and tie into the existing distribution system.</x:t>
  </x:si>
  <x:si>
    <x:t xml:space="preserve">1.01.4.3</x:t>
  </x:si>
  <x:si>
    <x:t xml:space="preserve">P01-WP043</x:t>
  </x:si>
  <x:si>
    <x:t xml:space="preserve">Pavement &amp; Surface Restoration</x:t>
  </x:si>
  <x:si>
    <x:t xml:space="preserve">Backfill, compact, and restore pavement, sidewalks, and surface features disturbed by construction.</x:t>
  </x:si>
  <x:si>
    <x:t xml:space="preserve">1.01.5</x:t>
  </x:si>
  <x:si>
    <x:t xml:space="preserve">P01-CA05</x:t>
  </x:si>
  <x:si>
    <x:t xml:space="preserve">Testing &amp; Commissioning</x:t>
  </x:si>
  <x:si>
    <x:t xml:space="preserve">Commissioning Lead</x:t>
  </x:si>
  <x:si>
    <x:t xml:space="preserve">Testing &amp; Commissioning phase for Downtown 12-inch Water Main Replacement: test, start up, and verify system performance prior to acceptance.</x:t>
  </x:si>
  <x:si>
    <x:t xml:space="preserve">1.01.5.1</x:t>
  </x:si>
  <x:si>
    <x:t xml:space="preserve">P01-WP051</x:t>
  </x:si>
  <x:si>
    <x:t xml:space="preserve">Startup &amp; Functional Testing</x:t>
  </x:si>
  <x:si>
    <x:t xml:space="preserve">Perform startup and functional testing of completed work for Downtown 12-inch Water Main Replacement.</x:t>
  </x:si>
  <x:si>
    <x:t xml:space="preserve">1.01.6</x:t>
  </x:si>
  <x:si>
    <x:t xml:space="preserve">P01-CA06</x:t>
  </x:si>
  <x:si>
    <x:t xml:space="preserve">Closeout</x:t>
  </x:si>
  <x:si>
    <x:t xml:space="preserve">Project Manager</x:t>
  </x:si>
  <x:si>
    <x:t xml:space="preserve">Closeout phase for Downtown 12-inch Water Main Replacement: complete punch-list items, finalize documentation, and transfer the asset to operations.</x:t>
  </x:si>
  <x:si>
    <x:t xml:space="preserve">1.01.6.1</x:t>
  </x:si>
  <x:si>
    <x:t xml:space="preserve">P01-WP061</x:t>
  </x:si>
  <x:si>
    <x:t xml:space="preserve">Documentation &amp; Turnover</x:t>
  </x:si>
  <x:si>
    <x:t xml:space="preserve">Compile as-built documentation and turn over the completed asset to operations for Downtown 12-inch Water Main Replacement.</x:t>
  </x:si>
  <x:si>
    <x:t xml:space="preserve">1.01.6.2</x:t>
  </x:si>
  <x:si>
    <x:t xml:space="preserve">P01-WP062</x:t>
  </x:si>
  <x:si>
    <x:t xml:space="preserve">Financial Closeout</x:t>
  </x:si>
  <x:si>
    <x:t xml:space="preserve">Reconcile final costs, close out contracts, and complete financial closeout for Downtown 12-inch Water Main Replacement.</x:t>
  </x:si>
  <x:si>
    <x:t xml:space="preserve">1.02.1</x:t>
  </x:si>
  <x:si>
    <x:t xml:space="preserve">P02-CA01</x:t>
  </x:si>
  <x:si>
    <x:t xml:space="preserve">Planning phase for Northside Pump Station Rehabilitation: confirm scope, budget, and regulatory requirements, and align with the overall program schedule.</x:t>
  </x:si>
  <x:si>
    <x:t xml:space="preserve">1.02.1.1</x:t>
  </x:si>
  <x:si>
    <x:t xml:space="preserve">P02-WP011</x:t>
  </x:si>
  <x:si>
    <x:t xml:space="preserve">Confirm the justification, condition assessment, and need for Northside Pump Station Rehabilitation.</x:t>
  </x:si>
  <x:si>
    <x:t xml:space="preserve">1.02.1.2</x:t>
  </x:si>
  <x:si>
    <x:t xml:space="preserve">P02-WP012</x:t>
  </x:si>
  <x:si>
    <x:t xml:space="preserve">Finalize scope boundaries, success criteria, and program alignment for Northside Pump Station Rehabilitation.</x:t>
  </x:si>
  <x:si>
    <x:t xml:space="preserve">1.02.2</x:t>
  </x:si>
  <x:si>
    <x:t xml:space="preserve">P02-CA02</x:t>
  </x:si>
  <x:si>
    <x:t xml:space="preserve">Design phase for Northside Pump Station Rehabilitation: develop and finalize engineering design to support procurement and construction.</x:t>
  </x:si>
  <x:si>
    <x:t xml:space="preserve">1.02.2.1</x:t>
  </x:si>
  <x:si>
    <x:t xml:space="preserve">P02-WP021</x:t>
  </x:si>
  <x:si>
    <x:t xml:space="preserve">Develop preliminary (~30%) design concepts and basis of design for Northside Pump Station Rehabilitation.</x:t>
  </x:si>
  <x:si>
    <x:t xml:space="preserve">1.02.2.2</x:t>
  </x:si>
  <x:si>
    <x:t xml:space="preserve">P02-WP022</x:t>
  </x:si>
  <x:si>
    <x:t xml:space="preserve">Complete final (100%) design documents and specifications for Northside Pump Station Rehabilitation.</x:t>
  </x:si>
  <x:si>
    <x:t xml:space="preserve">1.02.3</x:t>
  </x:si>
  <x:si>
    <x:t xml:space="preserve">P02-CA03</x:t>
  </x:si>
  <x:si>
    <x:t xml:space="preserve">Procurement phase for Northside Pump Station Rehabilitation: solicit, award, and execute construction and/or equipment contracts.</x:t>
  </x:si>
  <x:si>
    <x:t xml:space="preserve">1.02.3.1</x:t>
  </x:si>
  <x:si>
    <x:t xml:space="preserve">P02-WP031</x:t>
  </x:si>
  <x:si>
    <x:t xml:space="preserve">Prepare bid documents and solicit contractor/vendor proposals for Northside Pump Station Rehabilitation.</x:t>
  </x:si>
  <x:si>
    <x:t xml:space="preserve">1.02.3.2</x:t>
  </x:si>
  <x:si>
    <x:t xml:space="preserve">P02-WP032</x:t>
  </x:si>
  <x:si>
    <x:t xml:space="preserve">Award the contract and mobilize the contractor/vendor for Northside Pump Station Rehabilitation.</x:t>
  </x:si>
  <x:si>
    <x:t xml:space="preserve">1.02.4</x:t>
  </x:si>
  <x:si>
    <x:t xml:space="preserve">P02-CA04</x:t>
  </x:si>
  <x:si>
    <x:t xml:space="preserve">Construction phase for Northside Pump Station Rehabilitation: execute physical construction, installation, or implementation work.</x:t>
  </x:si>
  <x:si>
    <x:t xml:space="preserve">1.02.4.1</x:t>
  </x:si>
  <x:si>
    <x:t xml:space="preserve">P02-WP041</x:t>
  </x:si>
  <x:si>
    <x:t xml:space="preserve">Pump &amp; Motor Replacement</x:t>
  </x:si>
  <x:si>
    <x:t xml:space="preserve">Remove existing pumps and motors and install new high-efficiency units per design.</x:t>
  </x:si>
  <x:si>
    <x:t xml:space="preserve">1.02.4.2</x:t>
  </x:si>
  <x:si>
    <x:t xml:space="preserve">P02-WP042</x:t>
  </x:si>
  <x:si>
    <x:t xml:space="preserve">Electrical Switchgear Upgrade</x:t>
  </x:si>
  <x:si>
    <x:t xml:space="preserve">Replace station switchgear, VFDs, and associated electrical distribution equipment.</x:t>
  </x:si>
  <x:si>
    <x:t xml:space="preserve">1.02.4.3</x:t>
  </x:si>
  <x:si>
    <x:t xml:space="preserve">P02-WP043</x:t>
  </x:si>
  <x:si>
    <x:t xml:space="preserve">Wetwell Structural Rehabilitation</x:t>
  </x:si>
  <x:si>
    <x:t xml:space="preserve">Repair and recoat wetwell concrete structure and associated access hardware.</x:t>
  </x:si>
  <x:si>
    <x:t xml:space="preserve">1.02.5</x:t>
  </x:si>
  <x:si>
    <x:t xml:space="preserve">P02-CA05</x:t>
  </x:si>
  <x:si>
    <x:t xml:space="preserve">Testing &amp; Commissioning phase for Northside Pump Station Rehabilitation: test, start up, and verify system performance prior to acceptance.</x:t>
  </x:si>
  <x:si>
    <x:t xml:space="preserve">1.02.5.1</x:t>
  </x:si>
  <x:si>
    <x:t xml:space="preserve">P02-WP051</x:t>
  </x:si>
  <x:si>
    <x:t xml:space="preserve">Perform startup and functional testing of completed work for Northside Pump Station Rehabilitation.</x:t>
  </x:si>
  <x:si>
    <x:t xml:space="preserve">1.02.6</x:t>
  </x:si>
  <x:si>
    <x:t xml:space="preserve">P02-CA06</x:t>
  </x:si>
  <x:si>
    <x:t xml:space="preserve">Closeout phase for Northside Pump Station Rehabilitation: complete punch-list items, finalize documentation, and transfer the asset to operations.</x:t>
  </x:si>
  <x:si>
    <x:t xml:space="preserve">1.02.6.1</x:t>
  </x:si>
  <x:si>
    <x:t xml:space="preserve">P02-WP061</x:t>
  </x:si>
  <x:si>
    <x:t xml:space="preserve">Compile as-built documentation and turn over the completed asset to operations for Northside Pump Station Rehabilitation.</x:t>
  </x:si>
  <x:si>
    <x:t xml:space="preserve">1.02.6.2</x:t>
  </x:si>
  <x:si>
    <x:t xml:space="preserve">P02-WP062</x:t>
  </x:si>
  <x:si>
    <x:t xml:space="preserve">Reconcile final costs, close out contracts, and complete financial closeout for Northside Pump Station Rehabilitation.</x:t>
  </x:si>
  <x:si>
    <x:t xml:space="preserve">1.03.1</x:t>
  </x:si>
  <x:si>
    <x:t xml:space="preserve">P03-CA01</x:t>
  </x:si>
  <x:si>
    <x:t xml:space="preserve">Planning phase for Central Water Treatment Plant Process Upgrade: confirm scope, budget, and regulatory requirements, and align with the overall program schedule.</x:t>
  </x:si>
  <x:si>
    <x:t xml:space="preserve">1.03.1.1</x:t>
  </x:si>
  <x:si>
    <x:t xml:space="preserve">P03-WP011</x:t>
  </x:si>
  <x:si>
    <x:t xml:space="preserve">Confirm the justification, condition assessment, and need for Central Water Treatment Plant Process Upgrade.</x:t>
  </x:si>
  <x:si>
    <x:t xml:space="preserve">1.03.1.2</x:t>
  </x:si>
  <x:si>
    <x:t xml:space="preserve">P03-WP012</x:t>
  </x:si>
  <x:si>
    <x:t xml:space="preserve">Finalize scope boundaries, success criteria, and program alignment for Central Water Treatment Plant Process Upgrade.</x:t>
  </x:si>
  <x:si>
    <x:t xml:space="preserve">1.03.2</x:t>
  </x:si>
  <x:si>
    <x:t xml:space="preserve">P03-CA02</x:t>
  </x:si>
  <x:si>
    <x:t xml:space="preserve">Design phase for Central Water Treatment Plant Process Upgrade: develop and finalize engineering design to support procurement and construction.</x:t>
  </x:si>
  <x:si>
    <x:t xml:space="preserve">1.03.2.1</x:t>
  </x:si>
  <x:si>
    <x:t xml:space="preserve">P03-WP021</x:t>
  </x:si>
  <x:si>
    <x:t xml:space="preserve">Develop preliminary (~30%) design concepts and basis of design for Central Water Treatment Plant Process Upgrade.</x:t>
  </x:si>
  <x:si>
    <x:t xml:space="preserve">1.03.2.2</x:t>
  </x:si>
  <x:si>
    <x:t xml:space="preserve">P03-WP022</x:t>
  </x:si>
  <x:si>
    <x:t xml:space="preserve">Complete final (100%) design documents and specifications for Central Water Treatment Plant Process Upgrade.</x:t>
  </x:si>
  <x:si>
    <x:t xml:space="preserve">1.03.3</x:t>
  </x:si>
  <x:si>
    <x:t xml:space="preserve">P03-CA03</x:t>
  </x:si>
  <x:si>
    <x:t xml:space="preserve">Procurement phase for Central Water Treatment Plant Process Upgrade: solicit, award, and execute construction and/or equipment contracts.</x:t>
  </x:si>
  <x:si>
    <x:t xml:space="preserve">1.03.3.1</x:t>
  </x:si>
  <x:si>
    <x:t xml:space="preserve">P03-WP031</x:t>
  </x:si>
  <x:si>
    <x:t xml:space="preserve">Prepare bid documents and solicit contractor/vendor proposals for Central Water Treatment Plant Process Upgrade.</x:t>
  </x:si>
  <x:si>
    <x:t xml:space="preserve">1.03.3.2</x:t>
  </x:si>
  <x:si>
    <x:t xml:space="preserve">P03-WP032</x:t>
  </x:si>
  <x:si>
    <x:t xml:space="preserve">Award the contract and mobilize the contractor/vendor for Central Water Treatment Plant Process Upgrade.</x:t>
  </x:si>
  <x:si>
    <x:t xml:space="preserve">1.03.4</x:t>
  </x:si>
  <x:si>
    <x:t xml:space="preserve">P03-CA04</x:t>
  </x:si>
  <x:si>
    <x:t xml:space="preserve">Construction phase for Central Water Treatment Plant Process Upgrade: execute physical construction, installation, or implementation work.</x:t>
  </x:si>
  <x:si>
    <x:t xml:space="preserve">1.03.4.1</x:t>
  </x:si>
  <x:si>
    <x:t xml:space="preserve">P03-WP041</x:t>
  </x:si>
  <x:si>
    <x:t xml:space="preserve">Process Mechanical Installation</x:t>
  </x:si>
  <x:si>
    <x:t xml:space="preserve">Install new process mechanical equipment (clarifiers, filters, pumps) per the treatment process design.</x:t>
  </x:si>
  <x:si>
    <x:t xml:space="preserve">1.03.4.2</x:t>
  </x:si>
  <x:si>
    <x:t xml:space="preserve">P03-WP042</x:t>
  </x:si>
  <x:si>
    <x:t xml:space="preserve">Electrical &amp; Instrumentation Installation</x:t>
  </x:si>
  <x:si>
    <x:t xml:space="preserve">Install new electrical distribution, control panels, and process instrumentation.</x:t>
  </x:si>
  <x:si>
    <x:t xml:space="preserve">1.03.4.3</x:t>
  </x:si>
  <x:si>
    <x:t xml:space="preserve">P03-WP043</x:t>
  </x:si>
  <x:si>
    <x:t xml:space="preserve">Chemical Feed System Installation</x:t>
  </x:si>
  <x:si>
    <x:t xml:space="preserve">Install new chemical storage, feed pumps, and containment for treatment process chemicals.</x:t>
  </x:si>
  <x:si>
    <x:t xml:space="preserve">1.03.5</x:t>
  </x:si>
  <x:si>
    <x:t xml:space="preserve">P03-CA05</x:t>
  </x:si>
  <x:si>
    <x:t xml:space="preserve">Testing &amp; Commissioning phase for Central Water Treatment Plant Process Upgrade: test, start up, and verify system performance prior to acceptance.</x:t>
  </x:si>
  <x:si>
    <x:t xml:space="preserve">1.03.5.1</x:t>
  </x:si>
  <x:si>
    <x:t xml:space="preserve">P03-WP051</x:t>
  </x:si>
  <x:si>
    <x:t xml:space="preserve">Process Startup &amp; Functional Testing</x:t>
  </x:si>
  <x:si>
    <x:t xml:space="preserve">Perform sequential process startup and functional testing of new mechanical and electrical systems.</x:t>
  </x:si>
  <x:si>
    <x:t xml:space="preserve">1.03.5.2</x:t>
  </x:si>
  <x:si>
    <x:t xml:space="preserve">P03-WP052</x:t>
  </x:si>
  <x:si>
    <x:t xml:space="preserve">Performance / Acceptance Testing</x:t>
  </x:si>
  <x:si>
    <x:t xml:space="preserve">Conduct performance testing against design criteria and regulatory treatment standards.</x:t>
  </x:si>
  <x:si>
    <x:t xml:space="preserve">1.03.5.3</x:t>
  </x:si>
  <x:si>
    <x:t xml:space="preserve">P03-WP053</x:t>
  </x:si>
  <x:si>
    <x:t xml:space="preserve">Regulatory Sign-off &amp; SCADA Integration Checkout</x:t>
  </x:si>
  <x:si>
    <x:t xml:space="preserve">Coordinate state regulatory sign-off and verify full SCADA integration prior to substantial completion.</x:t>
  </x:si>
  <x:si>
    <x:t xml:space="preserve">1.03.6</x:t>
  </x:si>
  <x:si>
    <x:t xml:space="preserve">P03-CA06</x:t>
  </x:si>
  <x:si>
    <x:t xml:space="preserve">Closeout phase for Central Water Treatment Plant Process Upgrade: complete punch-list items, finalize documentation, and transfer the asset to operations.</x:t>
  </x:si>
  <x:si>
    <x:t xml:space="preserve">1.03.6.1</x:t>
  </x:si>
  <x:si>
    <x:t xml:space="preserve">P03-WP061</x:t>
  </x:si>
  <x:si>
    <x:t xml:space="preserve">Compile as-built documentation and turn over the completed asset to operations for Central Water Treatment Plant Process Upgrade.</x:t>
  </x:si>
  <x:si>
    <x:t xml:space="preserve">1.03.6.2</x:t>
  </x:si>
  <x:si>
    <x:t xml:space="preserve">P03-WP062</x:t>
  </x:si>
  <x:si>
    <x:t xml:space="preserve">Reconcile final costs, close out contracts, and complete financial closeout for Central Water Treatment Plant Process Upgrade.</x:t>
  </x:si>
  <x:si>
    <x:t xml:space="preserve">1.04.1</x:t>
  </x:si>
  <x:si>
    <x:t xml:space="preserve">P04-CA01</x:t>
  </x:si>
  <x:si>
    <x:t xml:space="preserve">Planning phase for Hilltop Storage Tank Rehabilitation: confirm scope, budget, and regulatory requirements, and align with the overall program schedule.</x:t>
  </x:si>
  <x:si>
    <x:t xml:space="preserve">1.04.1.1</x:t>
  </x:si>
  <x:si>
    <x:t xml:space="preserve">P04-WP011</x:t>
  </x:si>
  <x:si>
    <x:t xml:space="preserve">Confirm the justification, condition assessment, and need for Hilltop Storage Tank Rehabilitation.</x:t>
  </x:si>
  <x:si>
    <x:t xml:space="preserve">1.04.1.2</x:t>
  </x:si>
  <x:si>
    <x:t xml:space="preserve">P04-WP012</x:t>
  </x:si>
  <x:si>
    <x:t xml:space="preserve">Finalize scope boundaries, success criteria, and program alignment for Hilltop Storage Tank Rehabilitation.</x:t>
  </x:si>
  <x:si>
    <x:t xml:space="preserve">1.04.2</x:t>
  </x:si>
  <x:si>
    <x:t xml:space="preserve">P04-CA02</x:t>
  </x:si>
  <x:si>
    <x:t xml:space="preserve">Design phase for Hilltop Storage Tank Rehabilitation: develop and finalize engineering design to support procurement and construction.</x:t>
  </x:si>
  <x:si>
    <x:t xml:space="preserve">1.04.2.1</x:t>
  </x:si>
  <x:si>
    <x:t xml:space="preserve">P04-WP021</x:t>
  </x:si>
  <x:si>
    <x:t xml:space="preserve">Develop preliminary (~30%) design concepts and basis of design for Hilltop Storage Tank Rehabilitation.</x:t>
  </x:si>
  <x:si>
    <x:t xml:space="preserve">1.04.2.2</x:t>
  </x:si>
  <x:si>
    <x:t xml:space="preserve">P04-WP022</x:t>
  </x:si>
  <x:si>
    <x:t xml:space="preserve">Complete final (100%) design documents and specifications for Hilltop Storage Tank Rehabilitation.</x:t>
  </x:si>
  <x:si>
    <x:t xml:space="preserve">1.04.3</x:t>
  </x:si>
  <x:si>
    <x:t xml:space="preserve">P04-CA03</x:t>
  </x:si>
  <x:si>
    <x:t xml:space="preserve">Procurement phase for Hilltop Storage Tank Rehabilitation: solicit, award, and execute construction and/or equipment contracts.</x:t>
  </x:si>
  <x:si>
    <x:t xml:space="preserve">1.04.3.1</x:t>
  </x:si>
  <x:si>
    <x:t xml:space="preserve">P04-WP031</x:t>
  </x:si>
  <x:si>
    <x:t xml:space="preserve">Prepare bid documents and solicit contractor/vendor proposals for Hilltop Storage Tank Rehabilitation.</x:t>
  </x:si>
  <x:si>
    <x:t xml:space="preserve">1.04.3.2</x:t>
  </x:si>
  <x:si>
    <x:t xml:space="preserve">P04-WP032</x:t>
  </x:si>
  <x:si>
    <x:t xml:space="preserve">Award the contract and mobilize the contractor/vendor for Hilltop Storage Tank Rehabilitation.</x:t>
  </x:si>
  <x:si>
    <x:t xml:space="preserve">1.04.4</x:t>
  </x:si>
  <x:si>
    <x:t xml:space="preserve">P04-CA04</x:t>
  </x:si>
  <x:si>
    <x:t xml:space="preserve">Construction phase for Hilltop Storage Tank Rehabilitation: execute physical construction, installation, or implementation work.</x:t>
  </x:si>
  <x:si>
    <x:t xml:space="preserve">1.04.4.1</x:t>
  </x:si>
  <x:si>
    <x:t xml:space="preserve">P04-WP041</x:t>
  </x:si>
  <x:si>
    <x:t xml:space="preserve">Tank Interior/Exterior Coating</x:t>
  </x:si>
  <x:si>
    <x:t xml:space="preserve">Prepare surfaces and apply new interior and exterior protective coating systems to the storage tank.</x:t>
  </x:si>
  <x:si>
    <x:t xml:space="preserve">1.04.4.2</x:t>
  </x:si>
  <x:si>
    <x:t xml:space="preserve">P04-WP042</x:t>
  </x:si>
  <x:si>
    <x:t xml:space="preserve">Structural Steel Repairs</x:t>
  </x:si>
  <x:si>
    <x:t xml:space="preserve">Repair or replace corroded structural steel members identified during inspection.</x:t>
  </x:si>
  <x:si>
    <x:t xml:space="preserve">1.04.4.3</x:t>
  </x:si>
  <x:si>
    <x:t xml:space="preserve">P04-WP043</x:t>
  </x:si>
  <x:si>
    <x:t xml:space="preserve">Cathodic Protection System Installation</x:t>
  </x:si>
  <x:si>
    <x:t xml:space="preserve">Install a new impressed-current cathodic protection system to mitigate future corrosion.</x:t>
  </x:si>
  <x:si>
    <x:t xml:space="preserve">1.04.5</x:t>
  </x:si>
  <x:si>
    <x:t xml:space="preserve">P04-CA05</x:t>
  </x:si>
  <x:si>
    <x:t xml:space="preserve">Testing &amp; Commissioning phase for Hilltop Storage Tank Rehabilitation: test, start up, and verify system performance prior to acceptance.</x:t>
  </x:si>
  <x:si>
    <x:t xml:space="preserve">1.04.5.1</x:t>
  </x:si>
  <x:si>
    <x:t xml:space="preserve">P04-WP051</x:t>
  </x:si>
  <x:si>
    <x:t xml:space="preserve">Perform startup and functional testing of completed work for Hilltop Storage Tank Rehabilitation.</x:t>
  </x:si>
  <x:si>
    <x:t xml:space="preserve">1.04.6</x:t>
  </x:si>
  <x:si>
    <x:t xml:space="preserve">P04-CA06</x:t>
  </x:si>
  <x:si>
    <x:t xml:space="preserve">Closeout phase for Hilltop Storage Tank Rehabilitation: complete punch-list items, finalize documentation, and transfer the asset to operations.</x:t>
  </x:si>
  <x:si>
    <x:t xml:space="preserve">1.04.6.1</x:t>
  </x:si>
  <x:si>
    <x:t xml:space="preserve">P04-WP061</x:t>
  </x:si>
  <x:si>
    <x:t xml:space="preserve">Compile as-built documentation and turn over the completed asset to operations for Hilltop Storage Tank Rehabilitation.</x:t>
  </x:si>
  <x:si>
    <x:t xml:space="preserve">1.04.6.2</x:t>
  </x:si>
  <x:si>
    <x:t xml:space="preserve">P04-WP062</x:t>
  </x:si>
  <x:si>
    <x:t xml:space="preserve">Reconcile final costs, close out contracts, and complete financial closeout for Hilltop Storage Tank Rehabilitation.</x:t>
  </x:si>
  <x:si>
    <x:t xml:space="preserve">1.05.1</x:t>
  </x:si>
  <x:si>
    <x:t xml:space="preserve">P05-CA01</x:t>
  </x:si>
  <x:si>
    <x:t xml:space="preserve">Planning phase for Lead Service Line Replacement - Phase 1: confirm scope, budget, and regulatory requirements, and align with the overall program schedule.</x:t>
  </x:si>
  <x:si>
    <x:t xml:space="preserve">1.05.1.1</x:t>
  </x:si>
  <x:si>
    <x:t xml:space="preserve">P05-WP011</x:t>
  </x:si>
  <x:si>
    <x:t xml:space="preserve">Confirm the justification, condition assessment, and need for Lead Service Line Replacement - Phase 1.</x:t>
  </x:si>
  <x:si>
    <x:t xml:space="preserve">1.05.1.2</x:t>
  </x:si>
  <x:si>
    <x:t xml:space="preserve">P05-WP012</x:t>
  </x:si>
  <x:si>
    <x:t xml:space="preserve">Finalize scope boundaries, success criteria, and program alignment for Lead Service Line Replacement - Phase 1.</x:t>
  </x:si>
  <x:si>
    <x:t xml:space="preserve">1.05.2</x:t>
  </x:si>
  <x:si>
    <x:t xml:space="preserve">P05-CA02</x:t>
  </x:si>
  <x:si>
    <x:t xml:space="preserve">Design phase for Lead Service Line Replacement - Phase 1: develop and finalize engineering design to support procurement and construction.</x:t>
  </x:si>
  <x:si>
    <x:t xml:space="preserve">1.05.2.1</x:t>
  </x:si>
  <x:si>
    <x:t xml:space="preserve">P05-WP021</x:t>
  </x:si>
  <x:si>
    <x:t xml:space="preserve">Develop preliminary (~30%) design concepts and basis of design for Lead Service Line Replacement - Phase 1.</x:t>
  </x:si>
  <x:si>
    <x:t xml:space="preserve">1.05.2.2</x:t>
  </x:si>
  <x:si>
    <x:t xml:space="preserve">P05-WP022</x:t>
  </x:si>
  <x:si>
    <x:t xml:space="preserve">Complete final (100%) design documents and specifications for Lead Service Line Replacement - Phase 1.</x:t>
  </x:si>
  <x:si>
    <x:t xml:space="preserve">1.05.3</x:t>
  </x:si>
  <x:si>
    <x:t xml:space="preserve">P05-CA03</x:t>
  </x:si>
  <x:si>
    <x:t xml:space="preserve">Procurement phase for Lead Service Line Replacement - Phase 1: solicit, award, and execute construction and/or equipment contracts.</x:t>
  </x:si>
  <x:si>
    <x:t xml:space="preserve">1.05.3.1</x:t>
  </x:si>
  <x:si>
    <x:t xml:space="preserve">P05-WP031</x:t>
  </x:si>
  <x:si>
    <x:t xml:space="preserve">Prepare bid documents and solicit contractor/vendor proposals for Lead Service Line Replacement - Phase 1.</x:t>
  </x:si>
  <x:si>
    <x:t xml:space="preserve">1.05.3.2</x:t>
  </x:si>
  <x:si>
    <x:t xml:space="preserve">P05-WP032</x:t>
  </x:si>
  <x:si>
    <x:t xml:space="preserve">Award the contract and mobilize the contractor/vendor for Lead Service Line Replacement - Phase 1.</x:t>
  </x:si>
  <x:si>
    <x:t xml:space="preserve">1.05.4</x:t>
  </x:si>
  <x:si>
    <x:t xml:space="preserve">P05-CA04</x:t>
  </x:si>
  <x:si>
    <x:t xml:space="preserve">Construction phase for Lead Service Line Replacement - Phase 1: execute physical construction, installation, or implementation work.</x:t>
  </x:si>
  <x:si>
    <x:t xml:space="preserve">1.05.4.1</x:t>
  </x:si>
  <x:si>
    <x:t xml:space="preserve">P05-WP041</x:t>
  </x:si>
  <x:si>
    <x:t xml:space="preserve">Service Line Excavation &amp; Replacement</x:t>
  </x:si>
  <x:si>
    <x:t xml:space="preserve">Excavate and replace individual lead service lines with new copper or approved alternative piping.</x:t>
  </x:si>
  <x:si>
    <x:t xml:space="preserve">1.05.4.2</x:t>
  </x:si>
  <x:si>
    <x:t xml:space="preserve">P05-WP042</x:t>
  </x:si>
  <x:si>
    <x:t xml:space="preserve">Property Restoration</x:t>
  </x:si>
  <x:si>
    <x:t xml:space="preserve">Restore landscaping, driveways, and other surface features disturbed at each service address.</x:t>
  </x:si>
  <x:si>
    <x:t xml:space="preserve">1.05.4.3</x:t>
  </x:si>
  <x:si>
    <x:t xml:space="preserve">P05-WP043</x:t>
  </x:si>
  <x:si>
    <x:t xml:space="preserve">Water Quality Sampling &amp; Verification</x:t>
  </x:si>
  <x:si>
    <x:t xml:space="preserve">Collect and analyze post-replacement water samples to verify compliance with lead action levels.</x:t>
  </x:si>
  <x:si>
    <x:t xml:space="preserve">1.05.5</x:t>
  </x:si>
  <x:si>
    <x:t xml:space="preserve">P05-CA05</x:t>
  </x:si>
  <x:si>
    <x:t xml:space="preserve">Testing &amp; Commissioning phase for Lead Service Line Replacement - Phase 1: test, start up, and verify system performance prior to acceptance.</x:t>
  </x:si>
  <x:si>
    <x:t xml:space="preserve">1.05.5.1</x:t>
  </x:si>
  <x:si>
    <x:t xml:space="preserve">P05-WP051</x:t>
  </x:si>
  <x:si>
    <x:t xml:space="preserve">Perform startup and functional testing of completed work for Lead Service Line Replacement - Phase 1.</x:t>
  </x:si>
  <x:si>
    <x:t xml:space="preserve">1.05.6</x:t>
  </x:si>
  <x:si>
    <x:t xml:space="preserve">P05-CA06</x:t>
  </x:si>
  <x:si>
    <x:t xml:space="preserve">Closeout phase for Lead Service Line Replacement - Phase 1: complete punch-list items, finalize documentation, and transfer the asset to operations.</x:t>
  </x:si>
  <x:si>
    <x:t xml:space="preserve">1.05.6.1</x:t>
  </x:si>
  <x:si>
    <x:t xml:space="preserve">P05-WP061</x:t>
  </x:si>
  <x:si>
    <x:t xml:space="preserve">Compile as-built documentation and turn over the completed asset to operations for Lead Service Line Replacement - Phase 1.</x:t>
  </x:si>
  <x:si>
    <x:t xml:space="preserve">1.05.6.2</x:t>
  </x:si>
  <x:si>
    <x:t xml:space="preserve">P05-WP062</x:t>
  </x:si>
  <x:si>
    <x:t xml:space="preserve">Reconcile final costs, close out contracts, and complete financial closeout for Lead Service Line Replacement - Phase 1.</x:t>
  </x:si>
  <x:si>
    <x:t xml:space="preserve">1.06.1</x:t>
  </x:si>
  <x:si>
    <x:t xml:space="preserve">P06-CA01</x:t>
  </x:si>
  <x:si>
    <x:t xml:space="preserve">Planning phase for AMI / Smart Meter Modernization: confirm scope, budget, and regulatory requirements, and align with the overall program schedule.</x:t>
  </x:si>
  <x:si>
    <x:t xml:space="preserve">1.06.1.1</x:t>
  </x:si>
  <x:si>
    <x:t xml:space="preserve">P06-WP011</x:t>
  </x:si>
  <x:si>
    <x:t xml:space="preserve">Confirm the justification, condition assessment, and need for AMI / Smart Meter Modernization.</x:t>
  </x:si>
  <x:si>
    <x:t xml:space="preserve">1.06.1.2</x:t>
  </x:si>
  <x:si>
    <x:t xml:space="preserve">P06-WP012</x:t>
  </x:si>
  <x:si>
    <x:t xml:space="preserve">Finalize scope boundaries, success criteria, and program alignment for AMI / Smart Meter Modernization.</x:t>
  </x:si>
  <x:si>
    <x:t xml:space="preserve">1.06.2</x:t>
  </x:si>
  <x:si>
    <x:t xml:space="preserve">P06-CA02</x:t>
  </x:si>
  <x:si>
    <x:t xml:space="preserve">Design phase for AMI / Smart Meter Modernization: develop and finalize engineering design to support procurement and construction.</x:t>
  </x:si>
  <x:si>
    <x:t xml:space="preserve">1.06.2.1</x:t>
  </x:si>
  <x:si>
    <x:t xml:space="preserve">P06-WP021</x:t>
  </x:si>
  <x:si>
    <x:t xml:space="preserve">Develop preliminary (~30%) design concepts and basis of design for AMI / Smart Meter Modernization.</x:t>
  </x:si>
  <x:si>
    <x:t xml:space="preserve">1.06.2.2</x:t>
  </x:si>
  <x:si>
    <x:t xml:space="preserve">P06-WP022</x:t>
  </x:si>
  <x:si>
    <x:t xml:space="preserve">Complete final (100%) design documents and specifications for AMI / Smart Meter Modernization.</x:t>
  </x:si>
  <x:si>
    <x:t xml:space="preserve">1.06.3</x:t>
  </x:si>
  <x:si>
    <x:t xml:space="preserve">P06-CA03</x:t>
  </x:si>
  <x:si>
    <x:t xml:space="preserve">Procurement phase for AMI / Smart Meter Modernization: solicit, award, and execute construction and/or equipment contracts.</x:t>
  </x:si>
  <x:si>
    <x:t xml:space="preserve">1.06.3.1</x:t>
  </x:si>
  <x:si>
    <x:t xml:space="preserve">P06-WP031</x:t>
  </x:si>
  <x:si>
    <x:t xml:space="preserve">Prepare bid documents and solicit contractor/vendor proposals for AMI / Smart Meter Modernization.</x:t>
  </x:si>
  <x:si>
    <x:t xml:space="preserve">1.06.3.2</x:t>
  </x:si>
  <x:si>
    <x:t xml:space="preserve">P06-WP032</x:t>
  </x:si>
  <x:si>
    <x:t xml:space="preserve">Award the contract and mobilize the contractor/vendor for AMI / Smart Meter Modernization.</x:t>
  </x:si>
  <x:si>
    <x:t xml:space="preserve">1.06.4</x:t>
  </x:si>
  <x:si>
    <x:t xml:space="preserve">P06-CA04</x:t>
  </x:si>
  <x:si>
    <x:t xml:space="preserve">Construction phase for AMI / Smart Meter Modernization: execute physical construction, installation, or implementation work.</x:t>
  </x:si>
  <x:si>
    <x:t xml:space="preserve">1.06.4.1</x:t>
  </x:si>
  <x:si>
    <x:t xml:space="preserve">P06-WP041</x:t>
  </x:si>
  <x:si>
    <x:t xml:space="preserve">Meter Deployment &amp; Installation</x:t>
  </x:si>
  <x:si>
    <x:t xml:space="preserve">Remove existing meters and install new AMI-compatible meters at customer premises.</x:t>
  </x:si>
  <x:si>
    <x:t xml:space="preserve">1.06.4.2</x:t>
  </x:si>
  <x:si>
    <x:t xml:space="preserve">P06-WP042</x:t>
  </x:si>
  <x:si>
    <x:t xml:space="preserve">Head-End System Integration</x:t>
  </x:si>
  <x:si>
    <x:t xml:space="preserve">Install and configure the head-end data collection system and network gateways.</x:t>
  </x:si>
  <x:si>
    <x:t xml:space="preserve">1.06.4.3</x:t>
  </x:si>
  <x:si>
    <x:t xml:space="preserve">P06-WP043</x:t>
  </x:si>
  <x:si>
    <x:t xml:space="preserve">Customer Data Migration &amp; Validation</x:t>
  </x:si>
  <x:si>
    <x:t xml:space="preserve">Migrate existing customer account and consumption data into the new metering platform and validate accuracy.</x:t>
  </x:si>
  <x:si>
    <x:t xml:space="preserve">1.06.5</x:t>
  </x:si>
  <x:si>
    <x:t xml:space="preserve">P06-CA05</x:t>
  </x:si>
  <x:si>
    <x:t xml:space="preserve">Testing &amp; Commissioning phase for AMI / Smart Meter Modernization: test, start up, and verify system performance prior to acceptance.</x:t>
  </x:si>
  <x:si>
    <x:t xml:space="preserve">1.06.5.1</x:t>
  </x:si>
  <x:si>
    <x:t xml:space="preserve">P06-WP051</x:t>
  </x:si>
  <x:si>
    <x:t xml:space="preserve">Perform startup and functional testing of completed work for AMI / Smart Meter Modernization.</x:t>
  </x:si>
  <x:si>
    <x:t xml:space="preserve">1.06.6</x:t>
  </x:si>
  <x:si>
    <x:t xml:space="preserve">P06-CA06</x:t>
  </x:si>
  <x:si>
    <x:t xml:space="preserve">Closeout phase for AMI / Smart Meter Modernization: complete punch-list items, finalize documentation, and transfer the asset to operations.</x:t>
  </x:si>
  <x:si>
    <x:t xml:space="preserve">1.06.6.1</x:t>
  </x:si>
  <x:si>
    <x:t xml:space="preserve">P06-WP061</x:t>
  </x:si>
  <x:si>
    <x:t xml:space="preserve">Compile as-built documentation and turn over the completed asset to operations for AMI / Smart Meter Modernization.</x:t>
  </x:si>
  <x:si>
    <x:t xml:space="preserve">1.06.6.2</x:t>
  </x:si>
  <x:si>
    <x:t xml:space="preserve">P06-WP062</x:t>
  </x:si>
  <x:si>
    <x:t xml:space="preserve">Reconcile final costs, close out contracts, and complete financial closeout for AMI / Smart Meter Modernization.</x:t>
  </x:si>
  <x:si>
    <x:t xml:space="preserve">1.07.1</x:t>
  </x:si>
  <x:si>
    <x:t xml:space="preserve">P07-CA01</x:t>
  </x:si>
  <x:si>
    <x:t xml:space="preserve">Planning phase for East Zone Pressure Management Improvements: confirm scope, budget, and regulatory requirements, and align with the overall program schedule.</x:t>
  </x:si>
  <x:si>
    <x:t xml:space="preserve">1.07.1.1</x:t>
  </x:si>
  <x:si>
    <x:t xml:space="preserve">P07-WP011</x:t>
  </x:si>
  <x:si>
    <x:t xml:space="preserve">Confirm the justification, condition assessment, and need for East Zone Pressure Management Improvements.</x:t>
  </x:si>
  <x:si>
    <x:t xml:space="preserve">1.07.1.2</x:t>
  </x:si>
  <x:si>
    <x:t xml:space="preserve">P07-WP012</x:t>
  </x:si>
  <x:si>
    <x:t xml:space="preserve">Finalize scope boundaries, success criteria, and program alignment for East Zone Pressure Management Improvements.</x:t>
  </x:si>
  <x:si>
    <x:t xml:space="preserve">1.07.2</x:t>
  </x:si>
  <x:si>
    <x:t xml:space="preserve">P07-CA02</x:t>
  </x:si>
  <x:si>
    <x:t xml:space="preserve">Design phase for East Zone Pressure Management Improvements: develop and finalize engineering design to support procurement and construction.</x:t>
  </x:si>
  <x:si>
    <x:t xml:space="preserve">1.07.2.1</x:t>
  </x:si>
  <x:si>
    <x:t xml:space="preserve">P07-WP021</x:t>
  </x:si>
  <x:si>
    <x:t xml:space="preserve">Develop preliminary (~30%) design concepts and basis of design for East Zone Pressure Management Improvements.</x:t>
  </x:si>
  <x:si>
    <x:t xml:space="preserve">1.07.2.2</x:t>
  </x:si>
  <x:si>
    <x:t xml:space="preserve">P07-WP022</x:t>
  </x:si>
  <x:si>
    <x:t xml:space="preserve">Complete final (100%) design documents and specifications for East Zone Pressure Management Improvements.</x:t>
  </x:si>
  <x:si>
    <x:t xml:space="preserve">1.07.3</x:t>
  </x:si>
  <x:si>
    <x:t xml:space="preserve">P07-CA03</x:t>
  </x:si>
  <x:si>
    <x:t xml:space="preserve">Procurement phase for East Zone Pressure Management Improvements: solicit, award, and execute construction and/or equipment contracts.</x:t>
  </x:si>
  <x:si>
    <x:t xml:space="preserve">1.07.3.1</x:t>
  </x:si>
  <x:si>
    <x:t xml:space="preserve">P07-WP031</x:t>
  </x:si>
  <x:si>
    <x:t xml:space="preserve">Prepare bid documents and solicit contractor/vendor proposals for East Zone Pressure Management Improvements.</x:t>
  </x:si>
  <x:si>
    <x:t xml:space="preserve">1.07.3.2</x:t>
  </x:si>
  <x:si>
    <x:t xml:space="preserve">P07-WP032</x:t>
  </x:si>
  <x:si>
    <x:t xml:space="preserve">Award the contract and mobilize the contractor/vendor for East Zone Pressure Management Improvements.</x:t>
  </x:si>
  <x:si>
    <x:t xml:space="preserve">1.07.4</x:t>
  </x:si>
  <x:si>
    <x:t xml:space="preserve">P07-CA04</x:t>
  </x:si>
  <x:si>
    <x:t xml:space="preserve">Construction phase for East Zone Pressure Management Improvements: execute physical construction, installation, or implementation work.</x:t>
  </x:si>
  <x:si>
    <x:t xml:space="preserve">1.07.4.1</x:t>
  </x:si>
  <x:si>
    <x:t xml:space="preserve">P07-WP041</x:t>
  </x:si>
  <x:si>
    <x:t xml:space="preserve">PRV Station Installation</x:t>
  </x:si>
  <x:si>
    <x:t xml:space="preserve">Construct new pressure-reducing valve vaults and install PRV equipment at designated zone boundaries.</x:t>
  </x:si>
  <x:si>
    <x:t xml:space="preserve">1.07.4.2</x:t>
  </x:si>
  <x:si>
    <x:t xml:space="preserve">P07-WP042</x:t>
  </x:si>
  <x:si>
    <x:t xml:space="preserve">Zone Isolation Valve Installation</x:t>
  </x:si>
  <x:si>
    <x:t xml:space="preserve">Install new isolation valves to establish discrete pressure zone boundaries.</x:t>
  </x:si>
  <x:si>
    <x:t xml:space="preserve">1.07.4.3</x:t>
  </x:si>
  <x:si>
    <x:t xml:space="preserve">P07-WP043</x:t>
  </x:si>
  <x:si>
    <x:t xml:space="preserve">Pressure Monitoring Instrumentation</x:t>
  </x:si>
  <x:si>
    <x:t xml:space="preserve">Install remote pressure monitoring sensors and telemetry at key system locations.</x:t>
  </x:si>
  <x:si>
    <x:t xml:space="preserve">1.07.5</x:t>
  </x:si>
  <x:si>
    <x:t xml:space="preserve">P07-CA05</x:t>
  </x:si>
  <x:si>
    <x:t xml:space="preserve">Testing &amp; Commissioning phase for East Zone Pressure Management Improvements: test, start up, and verify system performance prior to acceptance.</x:t>
  </x:si>
  <x:si>
    <x:t xml:space="preserve">1.07.5.1</x:t>
  </x:si>
  <x:si>
    <x:t xml:space="preserve">P07-WP051</x:t>
  </x:si>
  <x:si>
    <x:t xml:space="preserve">Perform startup and functional testing of completed work for East Zone Pressure Management Improvements.</x:t>
  </x:si>
  <x:si>
    <x:t xml:space="preserve">1.07.6</x:t>
  </x:si>
  <x:si>
    <x:t xml:space="preserve">P07-CA06</x:t>
  </x:si>
  <x:si>
    <x:t xml:space="preserve">Closeout phase for East Zone Pressure Management Improvements: complete punch-list items, finalize documentation, and transfer the asset to operations.</x:t>
  </x:si>
  <x:si>
    <x:t xml:space="preserve">1.07.6.1</x:t>
  </x:si>
  <x:si>
    <x:t xml:space="preserve">P07-WP061</x:t>
  </x:si>
  <x:si>
    <x:t xml:space="preserve">Compile as-built documentation and turn over the completed asset to operations for East Zone Pressure Management Improvements.</x:t>
  </x:si>
  <x:si>
    <x:t xml:space="preserve">1.07.6.2</x:t>
  </x:si>
  <x:si>
    <x:t xml:space="preserve">P07-WP062</x:t>
  </x:si>
  <x:si>
    <x:t xml:space="preserve">Reconcile final costs, close out contracts, and complete financial closeout for East Zone Pressure Management Improvements.</x:t>
  </x:si>
  <x:si>
    <x:t xml:space="preserve">1.08.1</x:t>
  </x:si>
  <x:si>
    <x:t xml:space="preserve">P08-CA01</x:t>
  </x:si>
  <x:si>
    <x:t xml:space="preserve">Planning phase for Emergency Generator &amp; Electrical Resiliency: confirm scope, budget, and regulatory requirements, and align with the overall program schedule.</x:t>
  </x:si>
  <x:si>
    <x:t xml:space="preserve">1.08.1.1</x:t>
  </x:si>
  <x:si>
    <x:t xml:space="preserve">P08-WP011</x:t>
  </x:si>
  <x:si>
    <x:t xml:space="preserve">Confirm the justification, condition assessment, and need for Emergency Generator &amp; Electrical Resiliency.</x:t>
  </x:si>
  <x:si>
    <x:t xml:space="preserve">1.08.1.2</x:t>
  </x:si>
  <x:si>
    <x:t xml:space="preserve">P08-WP012</x:t>
  </x:si>
  <x:si>
    <x:t xml:space="preserve">Finalize scope boundaries, success criteria, and program alignment for Emergency Generator &amp; Electrical Resiliency.</x:t>
  </x:si>
  <x:si>
    <x:t xml:space="preserve">1.08.2</x:t>
  </x:si>
  <x:si>
    <x:t xml:space="preserve">P08-CA02</x:t>
  </x:si>
  <x:si>
    <x:t xml:space="preserve">Design phase for Emergency Generator &amp; Electrical Resiliency: develop and finalize engineering design to support procurement and construction.</x:t>
  </x:si>
  <x:si>
    <x:t xml:space="preserve">1.08.2.1</x:t>
  </x:si>
  <x:si>
    <x:t xml:space="preserve">P08-WP021</x:t>
  </x:si>
  <x:si>
    <x:t xml:space="preserve">Develop preliminary (~30%) design concepts and basis of design for Emergency Generator &amp; Electrical Resiliency.</x:t>
  </x:si>
  <x:si>
    <x:t xml:space="preserve">1.08.2.2</x:t>
  </x:si>
  <x:si>
    <x:t xml:space="preserve">P08-WP022</x:t>
  </x:si>
  <x:si>
    <x:t xml:space="preserve">Complete final (100%) design documents and specifications for Emergency Generator &amp; Electrical Resiliency.</x:t>
  </x:si>
  <x:si>
    <x:t xml:space="preserve">1.08.3</x:t>
  </x:si>
  <x:si>
    <x:t xml:space="preserve">P08-CA03</x:t>
  </x:si>
  <x:si>
    <x:t xml:space="preserve">Procurement phase for Emergency Generator &amp; Electrical Resiliency: solicit, award, and execute construction and/or equipment contracts.</x:t>
  </x:si>
  <x:si>
    <x:t xml:space="preserve">1.08.3.1</x:t>
  </x:si>
  <x:si>
    <x:t xml:space="preserve">P08-WP031</x:t>
  </x:si>
  <x:si>
    <x:t xml:space="preserve">Prepare bid documents and solicit contractor/vendor proposals for Emergency Generator &amp; Electrical Resiliency.</x:t>
  </x:si>
  <x:si>
    <x:t xml:space="preserve">1.08.3.2</x:t>
  </x:si>
  <x:si>
    <x:t xml:space="preserve">P08-WP032</x:t>
  </x:si>
  <x:si>
    <x:t xml:space="preserve">Award the contract and mobilize the contractor/vendor for Emergency Generator &amp; Electrical Resiliency.</x:t>
  </x:si>
  <x:si>
    <x:t xml:space="preserve">1.08.4</x:t>
  </x:si>
  <x:si>
    <x:t xml:space="preserve">P08-CA04</x:t>
  </x:si>
  <x:si>
    <x:t xml:space="preserve">Construction phase for Emergency Generator &amp; Electrical Resiliency: execute physical construction, installation, or implementation work.</x:t>
  </x:si>
  <x:si>
    <x:t xml:space="preserve">1.08.4.1</x:t>
  </x:si>
  <x:si>
    <x:t xml:space="preserve">P08-WP041</x:t>
  </x:si>
  <x:si>
    <x:t xml:space="preserve">Generator Installation</x:t>
  </x:si>
  <x:si>
    <x:t xml:space="preserve">Install new standby generator units and associated foundations/enclosures at each site.</x:t>
  </x:si>
  <x:si>
    <x:t xml:space="preserve">1.08.4.2</x:t>
  </x:si>
  <x:si>
    <x:t xml:space="preserve">P08-WP042</x:t>
  </x:si>
  <x:si>
    <x:t xml:space="preserve">Automatic Transfer Switch Installation</x:t>
  </x:si>
  <x:si>
    <x:t xml:space="preserve">Install automatic transfer switches and integrate with existing electrical distribution.</x:t>
  </x:si>
  <x:si>
    <x:t xml:space="preserve">1.08.4.3</x:t>
  </x:si>
  <x:si>
    <x:t xml:space="preserve">P08-WP043</x:t>
  </x:si>
  <x:si>
    <x:t xml:space="preserve">Fuel Storage System Installation</x:t>
  </x:si>
  <x:si>
    <x:t xml:space="preserve">Install fuel storage tanks and supply piping per code requirements.</x:t>
  </x:si>
  <x:si>
    <x:t xml:space="preserve">1.08.5</x:t>
  </x:si>
  <x:si>
    <x:t xml:space="preserve">P08-CA05</x:t>
  </x:si>
  <x:si>
    <x:t xml:space="preserve">Testing &amp; Commissioning phase for Emergency Generator &amp; Electrical Resiliency: test, start up, and verify system performance prior to acceptance.</x:t>
  </x:si>
  <x:si>
    <x:t xml:space="preserve">1.08.5.1</x:t>
  </x:si>
  <x:si>
    <x:t xml:space="preserve">P08-WP051</x:t>
  </x:si>
  <x:si>
    <x:t xml:space="preserve">Perform startup and functional testing of completed work for Emergency Generator &amp; Electrical Resiliency.</x:t>
  </x:si>
  <x:si>
    <x:t xml:space="preserve">1.08.6</x:t>
  </x:si>
  <x:si>
    <x:t xml:space="preserve">P08-CA06</x:t>
  </x:si>
  <x:si>
    <x:t xml:space="preserve">Closeout phase for Emergency Generator &amp; Electrical Resiliency: complete punch-list items, finalize documentation, and transfer the asset to operations.</x:t>
  </x:si>
  <x:si>
    <x:t xml:space="preserve">1.08.6.1</x:t>
  </x:si>
  <x:si>
    <x:t xml:space="preserve">P08-WP061</x:t>
  </x:si>
  <x:si>
    <x:t xml:space="preserve">Compile as-built documentation and turn over the completed asset to operations for Emergency Generator &amp; Electrical Resiliency.</x:t>
  </x:si>
  <x:si>
    <x:t xml:space="preserve">1.08.6.2</x:t>
  </x:si>
  <x:si>
    <x:t xml:space="preserve">P08-WP062</x:t>
  </x:si>
  <x:si>
    <x:t xml:space="preserve">Reconcile final costs, close out contracts, and complete financial closeout for Emergency Generator &amp; Electrical Resiliency.</x:t>
  </x:si>
  <x:si>
    <x:t xml:space="preserve">1.09.1</x:t>
  </x:si>
  <x:si>
    <x:t xml:space="preserve">P09-CA01</x:t>
  </x:si>
  <x:si>
    <x:t xml:space="preserve">Planning phase for River Crossing Main Rehabilitation: confirm scope, budget, and regulatory requirements, and align with the overall program schedule.</x:t>
  </x:si>
  <x:si>
    <x:t xml:space="preserve">1.09.1.1</x:t>
  </x:si>
  <x:si>
    <x:t xml:space="preserve">P09-WP011</x:t>
  </x:si>
  <x:si>
    <x:t xml:space="preserve">Confirm the justification, condition assessment, and need for River Crossing Main Rehabilitation.</x:t>
  </x:si>
  <x:si>
    <x:t xml:space="preserve">1.09.1.2</x:t>
  </x:si>
  <x:si>
    <x:t xml:space="preserve">P09-WP012</x:t>
  </x:si>
  <x:si>
    <x:t xml:space="preserve">Finalize scope boundaries, success criteria, and program alignment for River Crossing Main Rehabilitation.</x:t>
  </x:si>
  <x:si>
    <x:t xml:space="preserve">1.09.2</x:t>
  </x:si>
  <x:si>
    <x:t xml:space="preserve">P09-CA02</x:t>
  </x:si>
  <x:si>
    <x:t xml:space="preserve">Design phase for River Crossing Main Rehabilitation: develop and finalize engineering design to support procurement and construction.</x:t>
  </x:si>
  <x:si>
    <x:t xml:space="preserve">1.09.2.1</x:t>
  </x:si>
  <x:si>
    <x:t xml:space="preserve">P09-WP021</x:t>
  </x:si>
  <x:si>
    <x:t xml:space="preserve">Develop preliminary (~30%) design concepts and basis of design for River Crossing Main Rehabilitation.</x:t>
  </x:si>
  <x:si>
    <x:t xml:space="preserve">1.09.2.2</x:t>
  </x:si>
  <x:si>
    <x:t xml:space="preserve">P09-WP022</x:t>
  </x:si>
  <x:si>
    <x:t xml:space="preserve">Complete final (100%) design documents and specifications for River Crossing Main Rehabilitation.</x:t>
  </x:si>
  <x:si>
    <x:t xml:space="preserve">1.09.3</x:t>
  </x:si>
  <x:si>
    <x:t xml:space="preserve">P09-CA03</x:t>
  </x:si>
  <x:si>
    <x:t xml:space="preserve">Procurement phase for River Crossing Main Rehabilitation: solicit, award, and execute construction and/or equipment contracts.</x:t>
  </x:si>
  <x:si>
    <x:t xml:space="preserve">1.09.3.1</x:t>
  </x:si>
  <x:si>
    <x:t xml:space="preserve">P09-WP031</x:t>
  </x:si>
  <x:si>
    <x:t xml:space="preserve">Prepare bid documents and solicit contractor/vendor proposals for River Crossing Main Rehabilitation.</x:t>
  </x:si>
  <x:si>
    <x:t xml:space="preserve">1.09.3.2</x:t>
  </x:si>
  <x:si>
    <x:t xml:space="preserve">P09-WP032</x:t>
  </x:si>
  <x:si>
    <x:t xml:space="preserve">Award the contract and mobilize the contractor/vendor for River Crossing Main Rehabilitation.</x:t>
  </x:si>
  <x:si>
    <x:t xml:space="preserve">1.09.4</x:t>
  </x:si>
  <x:si>
    <x:t xml:space="preserve">P09-CA04</x:t>
  </x:si>
  <x:si>
    <x:t xml:space="preserve">Construction phase for River Crossing Main Rehabilitation: execute physical construction, installation, or implementation work.</x:t>
  </x:si>
  <x:si>
    <x:t xml:space="preserve">1.09.4.1</x:t>
  </x:si>
  <x:si>
    <x:t xml:space="preserve">P09-WP041</x:t>
  </x:si>
  <x:si>
    <x:t xml:space="preserve">Directional Drilling / Crossing Installation</x:t>
  </x:si>
  <x:si>
    <x:t xml:space="preserve">Perform horizontal directional drilling to install new main beneath the river crossing.</x:t>
  </x:si>
  <x:si>
    <x:t xml:space="preserve">1.09.4.2</x:t>
  </x:si>
  <x:si>
    <x:t xml:space="preserve">P09-WP042</x:t>
  </x:si>
  <x:si>
    <x:t xml:space="preserve">Pipe Fusion &amp; Pressure Testing</x:t>
  </x:si>
  <x:si>
    <x:t xml:space="preserve">Fuse HDPE pipe segments and perform hydrostatic pressure testing of the completed crossing.</x:t>
  </x:si>
  <x:si>
    <x:t xml:space="preserve">1.09.4.3</x:t>
  </x:si>
  <x:si>
    <x:t xml:space="preserve">P09-WP043</x:t>
  </x:si>
  <x:si>
    <x:t xml:space="preserve">Riverbank Restoration</x:t>
  </x:si>
  <x:si>
    <x:t xml:space="preserve">Restore riverbank grading, erosion control, and vegetation at entry/exit pit locations.</x:t>
  </x:si>
  <x:si>
    <x:t xml:space="preserve">1.09.5</x:t>
  </x:si>
  <x:si>
    <x:t xml:space="preserve">P09-CA05</x:t>
  </x:si>
  <x:si>
    <x:t xml:space="preserve">Testing &amp; Commissioning phase for River Crossing Main Rehabilitation: test, start up, and verify system performance prior to acceptance.</x:t>
  </x:si>
  <x:si>
    <x:t xml:space="preserve">1.09.5.1</x:t>
  </x:si>
  <x:si>
    <x:t xml:space="preserve">P09-WP051</x:t>
  </x:si>
  <x:si>
    <x:t xml:space="preserve">Perform startup and functional testing of completed work for River Crossing Main Rehabilitation.</x:t>
  </x:si>
  <x:si>
    <x:t xml:space="preserve">1.09.6</x:t>
  </x:si>
  <x:si>
    <x:t xml:space="preserve">P09-CA06</x:t>
  </x:si>
  <x:si>
    <x:t xml:space="preserve">Closeout phase for River Crossing Main Rehabilitation: complete punch-list items, finalize documentation, and transfer the asset to operations.</x:t>
  </x:si>
  <x:si>
    <x:t xml:space="preserve">1.09.6.1</x:t>
  </x:si>
  <x:si>
    <x:t xml:space="preserve">P09-WP061</x:t>
  </x:si>
  <x:si>
    <x:t xml:space="preserve">Compile as-built documentation and turn over the completed asset to operations for River Crossing Main Rehabilitation.</x:t>
  </x:si>
  <x:si>
    <x:t xml:space="preserve">1.09.6.2</x:t>
  </x:si>
  <x:si>
    <x:t xml:space="preserve">P09-WP062</x:t>
  </x:si>
  <x:si>
    <x:t xml:space="preserve">Reconcile final costs, close out contracts, and complete financial closeout for River Crossing Main Rehabilitation.</x:t>
  </x:si>
  <x:si>
    <x:t xml:space="preserve">1.10.1</x:t>
  </x:si>
  <x:si>
    <x:t xml:space="preserve">P10-CA01</x:t>
  </x:si>
  <x:si>
    <x:t xml:space="preserve">Planning phase for SCADA Controls Modernization: confirm scope, budget, and regulatory requirements, and align with the overall program schedule.</x:t>
  </x:si>
  <x:si>
    <x:t xml:space="preserve">1.10.1.1</x:t>
  </x:si>
  <x:si>
    <x:t xml:space="preserve">P10-WP011</x:t>
  </x:si>
  <x:si>
    <x:t xml:space="preserve">Confirm the justification, condition assessment, and need for SCADA Controls Modernization.</x:t>
  </x:si>
  <x:si>
    <x:t xml:space="preserve">1.10.1.2</x:t>
  </x:si>
  <x:si>
    <x:t xml:space="preserve">P10-WP012</x:t>
  </x:si>
  <x:si>
    <x:t xml:space="preserve">Finalize scope boundaries, success criteria, and program alignment for SCADA Controls Modernization.</x:t>
  </x:si>
  <x:si>
    <x:t xml:space="preserve">1.10.2</x:t>
  </x:si>
  <x:si>
    <x:t xml:space="preserve">P10-CA02</x:t>
  </x:si>
  <x:si>
    <x:t xml:space="preserve">Design phase for SCADA Controls Modernization: develop and finalize engineering design to support procurement and construction.</x:t>
  </x:si>
  <x:si>
    <x:t xml:space="preserve">1.10.2.1</x:t>
  </x:si>
  <x:si>
    <x:t xml:space="preserve">P10-WP021</x:t>
  </x:si>
  <x:si>
    <x:t xml:space="preserve">Develop preliminary (~30%) design concepts and basis of design for SCADA Controls Modernization.</x:t>
  </x:si>
  <x:si>
    <x:t xml:space="preserve">1.10.2.2</x:t>
  </x:si>
  <x:si>
    <x:t xml:space="preserve">P10-WP022</x:t>
  </x:si>
  <x:si>
    <x:t xml:space="preserve">Complete final (100%) design documents and specifications for SCADA Controls Modernization.</x:t>
  </x:si>
  <x:si>
    <x:t xml:space="preserve">1.10.3</x:t>
  </x:si>
  <x:si>
    <x:t xml:space="preserve">P10-CA03</x:t>
  </x:si>
  <x:si>
    <x:t xml:space="preserve">Procurement phase for SCADA Controls Modernization: solicit, award, and execute construction and/or equipment contracts.</x:t>
  </x:si>
  <x:si>
    <x:t xml:space="preserve">1.10.3.1</x:t>
  </x:si>
  <x:si>
    <x:t xml:space="preserve">P10-WP031</x:t>
  </x:si>
  <x:si>
    <x:t xml:space="preserve">Prepare bid documents and solicit contractor/vendor proposals for SCADA Controls Modernization.</x:t>
  </x:si>
  <x:si>
    <x:t xml:space="preserve">1.10.3.2</x:t>
  </x:si>
  <x:si>
    <x:t xml:space="preserve">P10-WP032</x:t>
  </x:si>
  <x:si>
    <x:t xml:space="preserve">Award the contract and mobilize the contractor/vendor for SCADA Controls Modernization.</x:t>
  </x:si>
  <x:si>
    <x:t xml:space="preserve">1.10.4</x:t>
  </x:si>
  <x:si>
    <x:t xml:space="preserve">P10-CA04</x:t>
  </x:si>
  <x:si>
    <x:t xml:space="preserve">Construction phase for SCADA Controls Modernization: execute physical construction, installation, or implementation work.</x:t>
  </x:si>
  <x:si>
    <x:t xml:space="preserve">1.10.4.1</x:t>
  </x:si>
  <x:si>
    <x:t xml:space="preserve">P10-WP041</x:t>
  </x:si>
  <x:si>
    <x:t xml:space="preserve">PLC Programming &amp; Configuration</x:t>
  </x:si>
  <x:si>
    <x:t xml:space="preserve">Develop and configure PLC logic for affected pump stations and treatment facilities.</x:t>
  </x:si>
  <x:si>
    <x:t xml:space="preserve">1.10.4.2</x:t>
  </x:si>
  <x:si>
    <x:t xml:space="preserve">P10-WP042</x:t>
  </x:si>
  <x:si>
    <x:t xml:space="preserve">HMI Development</x:t>
  </x:si>
  <x:si>
    <x:t xml:space="preserve">Develop human-machine interface screens and alarm configurations for operator use.</x:t>
  </x:si>
  <x:si>
    <x:t xml:space="preserve">1.10.4.3</x:t>
  </x:si>
  <x:si>
    <x:t xml:space="preserve">P10-WP043</x:t>
  </x:si>
  <x:si>
    <x:t xml:space="preserve">Network &amp; Communications Infrastructure</x:t>
  </x:si>
  <x:si>
    <x:t xml:space="preserve">Install and configure the SCADA communications network linking field sites to the control center.</x:t>
  </x:si>
  <x:si>
    <x:t xml:space="preserve">1.10.5</x:t>
  </x:si>
  <x:si>
    <x:t xml:space="preserve">P10-CA05</x:t>
  </x:si>
  <x:si>
    <x:t xml:space="preserve">Testing &amp; Commissioning phase for SCADA Controls Modernization: test, start up, and verify system performance prior to acceptance.</x:t>
  </x:si>
  <x:si>
    <x:t xml:space="preserve">1.10.5.1</x:t>
  </x:si>
  <x:si>
    <x:t xml:space="preserve">P10-WP051</x:t>
  </x:si>
  <x:si>
    <x:t xml:space="preserve">Perform startup and functional testing of completed work for SCADA Controls Modernization.</x:t>
  </x:si>
  <x:si>
    <x:t xml:space="preserve">1.10.6</x:t>
  </x:si>
  <x:si>
    <x:t xml:space="preserve">P10-CA06</x:t>
  </x:si>
  <x:si>
    <x:t xml:space="preserve">Closeout phase for SCADA Controls Modernization: complete punch-list items, finalize documentation, and transfer the asset to operations.</x:t>
  </x:si>
  <x:si>
    <x:t xml:space="preserve">1.10.6.1</x:t>
  </x:si>
  <x:si>
    <x:t xml:space="preserve">P10-WP061</x:t>
  </x:si>
  <x:si>
    <x:t xml:space="preserve">Compile as-built documentation and turn over the completed asset to operations for SCADA Controls Modernization.</x:t>
  </x:si>
  <x:si>
    <x:t xml:space="preserve">1.10.6.2</x:t>
  </x:si>
  <x:si>
    <x:t xml:space="preserve">P10-WP062</x:t>
  </x:si>
  <x:si>
    <x:t xml:space="preserve">Reconcile final costs, close out contracts, and complete financial closeout for SCADA Controls Modernization.</x:t>
  </x:si>
  <x:si>
    <x:t xml:space="preserve">1.11.1</x:t>
  </x:si>
  <x:si>
    <x:t xml:space="preserve">P11-CA01</x:t>
  </x:si>
  <x:si>
    <x:t xml:space="preserve">Planning phase for Valve Replacement &amp; Isolation Program: confirm scope, budget, and regulatory requirements, and align with the overall program schedule.</x:t>
  </x:si>
  <x:si>
    <x:t xml:space="preserve">1.11.1.1</x:t>
  </x:si>
  <x:si>
    <x:t xml:space="preserve">P11-WP011</x:t>
  </x:si>
  <x:si>
    <x:t xml:space="preserve">Confirm the justification, condition assessment, and need for Valve Replacement &amp; Isolation Program.</x:t>
  </x:si>
  <x:si>
    <x:t xml:space="preserve">1.11.1.2</x:t>
  </x:si>
  <x:si>
    <x:t xml:space="preserve">P11-WP012</x:t>
  </x:si>
  <x:si>
    <x:t xml:space="preserve">Finalize scope boundaries, success criteria, and program alignment for Valve Replacement &amp; Isolation Program.</x:t>
  </x:si>
  <x:si>
    <x:t xml:space="preserve">1.11.2</x:t>
  </x:si>
  <x:si>
    <x:t xml:space="preserve">P11-CA02</x:t>
  </x:si>
  <x:si>
    <x:t xml:space="preserve">Design phase for Valve Replacement &amp; Isolation Program: develop and finalize engineering design to support procurement and construction.</x:t>
  </x:si>
  <x:si>
    <x:t xml:space="preserve">1.11.2.1</x:t>
  </x:si>
  <x:si>
    <x:t xml:space="preserve">P11-WP021</x:t>
  </x:si>
  <x:si>
    <x:t xml:space="preserve">Develop preliminary (~30%) design concepts and basis of design for Valve Replacement &amp; Isolation Program.</x:t>
  </x:si>
  <x:si>
    <x:t xml:space="preserve">1.11.2.2</x:t>
  </x:si>
  <x:si>
    <x:t xml:space="preserve">P11-WP022</x:t>
  </x:si>
  <x:si>
    <x:t xml:space="preserve">Complete final (100%) design documents and specifications for Valve Replacement &amp; Isolation Program.</x:t>
  </x:si>
  <x:si>
    <x:t xml:space="preserve">1.11.3</x:t>
  </x:si>
  <x:si>
    <x:t xml:space="preserve">P11-CA03</x:t>
  </x:si>
  <x:si>
    <x:t xml:space="preserve">Procurement phase for Valve Replacement &amp; Isolation Program: solicit, award, and execute construction and/or equipment contracts.</x:t>
  </x:si>
  <x:si>
    <x:t xml:space="preserve">1.11.3.1</x:t>
  </x:si>
  <x:si>
    <x:t xml:space="preserve">P11-WP031</x:t>
  </x:si>
  <x:si>
    <x:t xml:space="preserve">Prepare bid documents and solicit contractor/vendor proposals for Valve Replacement &amp; Isolation Program.</x:t>
  </x:si>
  <x:si>
    <x:t xml:space="preserve">1.11.3.2</x:t>
  </x:si>
  <x:si>
    <x:t xml:space="preserve">P11-WP032</x:t>
  </x:si>
  <x:si>
    <x:t xml:space="preserve">Award the contract and mobilize the contractor/vendor for Valve Replacement &amp; Isolation Program.</x:t>
  </x:si>
  <x:si>
    <x:t xml:space="preserve">1.11.4</x:t>
  </x:si>
  <x:si>
    <x:t xml:space="preserve">P11-CA04</x:t>
  </x:si>
  <x:si>
    <x:t xml:space="preserve">Construction phase for Valve Replacement &amp; Isolation Program: execute physical construction, installation, or implementation work.</x:t>
  </x:si>
  <x:si>
    <x:t xml:space="preserve">1.11.4.1</x:t>
  </x:si>
  <x:si>
    <x:t xml:space="preserve">P11-WP041</x:t>
  </x:si>
  <x:si>
    <x:t xml:space="preserve">Isolation Valve Installation</x:t>
  </x:si>
  <x:si>
    <x:t xml:space="preserve">Install new isolation valves at designated locations across the distribution system.</x:t>
  </x:si>
  <x:si>
    <x:t xml:space="preserve">1.11.4.2</x:t>
  </x:si>
  <x:si>
    <x:t xml:space="preserve">P11-WP042</x:t>
  </x:si>
  <x:si>
    <x:t xml:space="preserve">Distribution System Mapping Update</x:t>
  </x:si>
  <x:si>
    <x:t xml:space="preserve">Update GIS and system mapping records to reflect newly installed valve locations and status.</x:t>
  </x:si>
  <x:si>
    <x:t xml:space="preserve">1.11.4.3</x:t>
  </x:si>
  <x:si>
    <x:t xml:space="preserve">P11-WP043</x:t>
  </x:si>
  <x:si>
    <x:t xml:space="preserve">Site Restoration</x:t>
  </x:si>
  <x:si>
    <x:t xml:space="preserve">Restore pavement and surface conditions at each valve installation location.</x:t>
  </x:si>
  <x:si>
    <x:t xml:space="preserve">1.11.5</x:t>
  </x:si>
  <x:si>
    <x:t xml:space="preserve">P11-CA05</x:t>
  </x:si>
  <x:si>
    <x:t xml:space="preserve">Testing &amp; Commissioning phase for Valve Replacement &amp; Isolation Program: test, start up, and verify system performance prior to acceptance.</x:t>
  </x:si>
  <x:si>
    <x:t xml:space="preserve">1.11.5.1</x:t>
  </x:si>
  <x:si>
    <x:t xml:space="preserve">P11-WP051</x:t>
  </x:si>
  <x:si>
    <x:t xml:space="preserve">Perform startup and functional testing of completed work for Valve Replacement &amp; Isolation Program.</x:t>
  </x:si>
  <x:si>
    <x:t xml:space="preserve">1.11.6</x:t>
  </x:si>
  <x:si>
    <x:t xml:space="preserve">P11-CA06</x:t>
  </x:si>
  <x:si>
    <x:t xml:space="preserve">Closeout phase for Valve Replacement &amp; Isolation Program: complete punch-list items, finalize documentation, and transfer the asset to operations.</x:t>
  </x:si>
  <x:si>
    <x:t xml:space="preserve">1.11.6.1</x:t>
  </x:si>
  <x:si>
    <x:t xml:space="preserve">P11-WP061</x:t>
  </x:si>
  <x:si>
    <x:t xml:space="preserve">Compile as-built documentation and turn over the completed asset to operations for Valve Replacement &amp; Isolation Program.</x:t>
  </x:si>
  <x:si>
    <x:t xml:space="preserve">1.11.6.2</x:t>
  </x:si>
  <x:si>
    <x:t xml:space="preserve">P11-WP062</x:t>
  </x:si>
  <x:si>
    <x:t xml:space="preserve">Reconcile final costs, close out contracts, and complete financial closeout for Valve Replacement &amp; Isolation Program.</x:t>
  </x:si>
  <x:si>
    <x:t xml:space="preserve">1.12.1</x:t>
  </x:si>
  <x:si>
    <x:t xml:space="preserve">P12-CA01</x:t>
  </x:si>
  <x:si>
    <x:t xml:space="preserve">Planning &amp; Prioritization</x:t>
  </x:si>
  <x:si>
    <x:t xml:space="preserve">Planning &amp; Prioritization phase for Programwide Small Capital &amp; Emergency Response Improvements: confirm scope, budget, and regulatory requirements, and align with the overall program schedule.</x:t>
  </x:si>
  <x:si>
    <x:t xml:space="preserve">1.12.1.1</x:t>
  </x:si>
  <x:si>
    <x:t xml:space="preserve">P12-WP011</x:t>
  </x:si>
  <x:si>
    <x:t xml:space="preserve">Work Order Intake &amp; Prioritization</x:t>
  </x:si>
  <x:si>
    <x:t xml:space="preserve">Intake, screen, and prioritize candidate small-capital and emergency work orders across the program.</x:t>
  </x:si>
  <x:si>
    <x:t xml:space="preserve">1.12.2</x:t>
  </x:si>
  <x:si>
    <x:t xml:space="preserve">P12-CA02</x:t>
  </x:si>
  <x:si>
    <x:t xml:space="preserve">Design / Scope Development</x:t>
  </x:si>
  <x:si>
    <x:t xml:space="preserve">Design / Scope Development phase for Programwide Small Capital &amp; Emergency Response Improvements: develop and finalize engineering design to support procurement and construction.</x:t>
  </x:si>
  <x:si>
    <x:t xml:space="preserve">1.12.2.1</x:t>
  </x:si>
  <x:si>
    <x:t xml:space="preserve">P12-WP021</x:t>
  </x:si>
  <x:si>
    <x:t xml:space="preserve">Field Scoping &amp; Estimate</x:t>
  </x:si>
  <x:si>
    <x:t xml:space="preserve">Develop field scope and cost estimate for prioritized work orders.</x:t>
  </x:si>
  <x:si>
    <x:t xml:space="preserve">1.12.3</x:t>
  </x:si>
  <x:si>
    <x:t xml:space="preserve">P12-CA03</x:t>
  </x:si>
  <x:si>
    <x:t xml:space="preserve">Procurement phase for Programwide Small Capital &amp; Emergency Response Improvements: solicit, award, and execute construction and/or equipment contracts.</x:t>
  </x:si>
  <x:si>
    <x:t xml:space="preserve">1.12.3.1</x:t>
  </x:si>
  <x:si>
    <x:t xml:space="preserve">P12-WP031</x:t>
  </x:si>
  <x:si>
    <x:t xml:space="preserve">Contractor / Materials Procurement</x:t>
  </x:si>
  <x:si>
    <x:t xml:space="preserve">Procure contractor task-order support and/or materials for prioritized work orders.</x:t>
  </x:si>
  <x:si>
    <x:t xml:space="preserve">1.12.4</x:t>
  </x:si>
  <x:si>
    <x:t xml:space="preserve">P12-CA04</x:t>
  </x:si>
  <x:si>
    <x:t xml:space="preserve">Execution</x:t>
  </x:si>
  <x:si>
    <x:t xml:space="preserve">Field Operations / Contractor</x:t>
  </x:si>
  <x:si>
    <x:t xml:space="preserve">Execution phase for Programwide Small Capital &amp; Emergency Response Improvements: perform planned small-capital repairs and prioritized emergency-response work.</x:t>
  </x:si>
  <x:si>
    <x:t xml:space="preserve">1.12.4.1</x:t>
  </x:si>
  <x:si>
    <x:t xml:space="preserve">P12-WP041</x:t>
  </x:si>
  <x:si>
    <x:t xml:space="preserve">Small Capital Repair Execution</x:t>
  </x:si>
  <x:si>
    <x:t xml:space="preserve">Execute planned, prioritized small-capital repair work orders across the distribution system.</x:t>
  </x:si>
  <x:si>
    <x:t xml:space="preserve">1.12.4.2</x:t>
  </x:si>
  <x:si>
    <x:t xml:space="preserve">P12-WP042</x:t>
  </x:si>
  <x:si>
    <x:t xml:space="preserve">Emergency Response Work Execution</x:t>
  </x:si>
  <x:si>
    <x:t xml:space="preserve">Execute unplanned emergency repair work orders as they are identified and prioritized.</x:t>
  </x:si>
  <x:si>
    <x:t xml:space="preserve">1.12.5</x:t>
  </x:si>
  <x:si>
    <x:t xml:space="preserve">P12-CA05</x:t>
  </x:si>
  <x:si>
    <x:t xml:space="preserve">Verification / Acceptance</x:t>
  </x:si>
  <x:si>
    <x:t xml:space="preserve">Verification / Acceptance phase for Programwide Small Capital &amp; Emergency Response Improvements: confirm completed work meets specification before closing the work order.</x:t>
  </x:si>
  <x:si>
    <x:t xml:space="preserve">1.12.5.1</x:t>
  </x:si>
  <x:si>
    <x:t xml:space="preserve">P12-WP051</x:t>
  </x:si>
  <x:si>
    <x:t xml:space="preserve">Work Order Acceptance &amp; Sign-off</x:t>
  </x:si>
  <x:si>
    <x:t xml:space="preserve">Confirm completed work orders meet specification and obtain sign-off.</x:t>
  </x:si>
  <x:si>
    <x:t xml:space="preserve">1.12.6</x:t>
  </x:si>
  <x:si>
    <x:t xml:space="preserve">P12-CA06</x:t>
  </x:si>
  <x:si>
    <x:t xml:space="preserve">Closeout phase for Programwide Small Capital &amp; Emergency Response Improvements: complete punch-list items, finalize documentation, and transfer the asset to operations.</x:t>
  </x:si>
  <x:si>
    <x:t xml:space="preserve">1.12.6.1</x:t>
  </x:si>
  <x:si>
    <x:t xml:space="preserve">P12-WP061</x:t>
  </x:si>
  <x:si>
    <x:t xml:space="preserve">Documentation &amp; Work Order Closeout</x:t>
  </x:si>
  <x:si>
    <x:t xml:space="preserve">Finalize work order documentation and close out completed small-capital/emergency work orders.</x:t>
  </x:si>
  <x:si>
    <x:t xml:space="preserve">Schedule</x:t>
  </x:si>
  <x:si>
    <x:t xml:space="preserve">Monthly Costs</x:t>
  </x:si>
  <x:si>
    <x:t xml:space="preserve">Not yet populated - built in Phase 3 (Monthly Cost Model). Baseline monthly spend per project must sum to that project's BAC.</x:t>
  </x:si>
  <x:si>
    <x:t xml:space="preserve">month</x:t>
  </x:si>
  <x:si>
    <x:t xml:space="preserve">baseline_monthly</x:t>
  </x:si>
  <x:si>
    <x:t xml:space="preserve">baseline_cumulative</x:t>
  </x:si>
  <x:si>
    <x:t xml:space="preserve">actual_monthly</x:t>
  </x:si>
  <x:si>
    <x:t xml:space="preserve">actual_cumulative</x:t>
  </x:si>
  <x:si>
    <x:t xml:space="preserve">committed_cost</x:t>
  </x:si>
  <x:si>
    <x:t xml:space="preserve">forecast_remaining</x:t>
  </x:si>
  <x:si>
    <x:t xml:space="preserve">forecast_at_completion</x:t>
  </x:si>
  <x:si>
    <x:t xml:space="preserve">Evm</x:t>
  </x:si>
  <x:si>
    <x:t xml:space="preserve">Not yet populated - built in Phase 4 (Earned Value Management), calculated as of the status date (Mar 31, 2026).</x:t>
  </x:si>
  <x:si>
    <x:t xml:space="preserve">pv</x:t>
  </x:si>
  <x:si>
    <x:t xml:space="preserve">ev</x:t>
  </x:si>
  <x:si>
    <x:t xml:space="preserve">ac</x:t>
  </x:si>
  <x:si>
    <x:t xml:space="preserve">cv</x:t>
  </x:si>
  <x:si>
    <x:t xml:space="preserve">sv</x:t>
  </x:si>
  <x:si>
    <x:t xml:space="preserve">cpi</x:t>
  </x:si>
  <x:si>
    <x:t xml:space="preserve">spi</x:t>
  </x:si>
  <x:si>
    <x:t xml:space="preserve">eac</x:t>
  </x:si>
  <x:si>
    <x:t xml:space="preserve">etc</x:t>
  </x:si>
  <x:si>
    <x:t xml:space="preserve">vac</x:t>
  </x:si>
  <x:si>
    <x:t xml:space="preserve">rag_status</x:t>
  </x:si>
  <x:si>
    <x:t xml:space="preserve">Risks</x:t>
  </x:si>
  <x:si>
    <x:t xml:space="preserve">Not yet populated - built in Phase 5 (Risk Register). 25-40 risks planned across the program.</x:t>
  </x:si>
  <x:si>
    <x:t xml:space="preserve">risk_id</x:t>
  </x:si>
  <x:si>
    <x:t xml:space="preserve">risk_category</x:t>
  </x:si>
  <x:si>
    <x:t xml:space="preserve">risk_statement</x:t>
  </x:si>
  <x:si>
    <x:t xml:space="preserve">probability_score</x:t>
  </x:si>
  <x:si>
    <x:t xml:space="preserve">impact_score</x:t>
  </x:si>
  <x:si>
    <x:t xml:space="preserve">inherent_score</x:t>
  </x:si>
  <x:si>
    <x:t xml:space="preserve">owner</x:t>
  </x:si>
  <x:si>
    <x:t xml:space="preserve">response_strategy</x:t>
  </x:si>
  <x:si>
    <x:t xml:space="preserve">mitigation</x:t>
  </x:si>
  <x:si>
    <x:t xml:space="preserve">residual_probability</x:t>
  </x:si>
  <x:si>
    <x:t xml:space="preserve">residual_impact</x:t>
  </x:si>
  <x:si>
    <x:t xml:space="preserve">residual_score</x:t>
  </x:si>
  <x:si>
    <x:t xml:space="preserve">status</x:t>
  </x:si>
  <x:si>
    <x:t xml:space="preserve">Changes</x:t>
  </x:si>
  <x:si>
    <x:t xml:space="preserve">Not yet populated - built in Phase 6 (Change Control), including the featured $600K / six-week contractor change scenario.</x:t>
  </x:si>
  <x:si>
    <x:t xml:space="preserve">change_id</x:t>
  </x:si>
  <x:si>
    <x:t xml:space="preserve">change_description</x:t>
  </x:si>
  <x:si>
    <x:t xml:space="preserve">cause</x:t>
  </x:si>
  <x:si>
    <x:t xml:space="preserve">requested_date</x:t>
  </x:si>
  <x:si>
    <x:t xml:space="preserve">approval_status</x:t>
  </x:si>
  <x:si>
    <x:t xml:space="preserve">cost_impact</x:t>
  </x:si>
  <x:si>
    <x:t xml:space="preserve">schedule_impact_days</x:t>
  </x:si>
  <x:si>
    <x:t xml:space="preserve">contingency_drawdown</x:t>
  </x:si>
  <x:si>
    <x:t xml:space="preserve">approved_by</x:t>
  </x:si>
  <x:si>
    <x:t xml:space="preserve">Resources</x:t>
  </x:si>
  <x:si>
    <x:t xml:space="preserve">Not yet populated - built in Phase 7 (Staffing / Resource Plan).</x:t>
  </x:si>
  <x:si>
    <x:t xml:space="preserve">role</x:t>
  </x:si>
  <x:si>
    <x:t xml:space="preserve">planned_fte</x:t>
  </x:si>
  <x:si>
    <x:t xml:space="preserve">notes</x:t>
  </x:si>
  <x:si>
    <x:t xml:space="preserve">Vendors</x:t>
  </x:si>
  <x:si>
    <x:t xml:space="preserve">Not yet populated - built in Phase 7 (Contractor / Vendor Tracker).</x:t>
  </x:si>
  <x:si>
    <x:t xml:space="preserve">vendor_id</x:t>
  </x:si>
  <x:si>
    <x:t xml:space="preserve">vendor_name</x:t>
  </x:si>
  <x:si>
    <x:t xml:space="preserve">contract_value</x:t>
  </x:si>
  <x:si>
    <x:t xml:space="preserve">performance_notes</x:t>
  </x:si>
  <x:si>
    <x:t xml:space="preserve">Milestones</x:t>
  </x:si>
  <x:si>
    <x:t xml:space="preserve">Not yet populated - built in Phase 8 (Milestone Tracker). 35-50 milestones planned across the program.</x:t>
  </x:si>
  <x:si>
    <x:t xml:space="preserve">milestone_id</x:t>
  </x:si>
  <x:si>
    <x:t xml:space="preserve">milestone_name</x:t>
  </x:si>
  <x:si>
    <x:t xml:space="preserve">baseline_date</x:t>
  </x:si>
  <x:si>
    <x:t xml:space="preserve">forecast_date</x:t>
  </x:si>
  <x:si>
    <x:t xml:space="preserve">actual_date</x:t>
  </x:si>
  <x:si>
    <x:t xml:space="preserve">variance_days</x:t>
  </x:si>
  <x:si>
    <x:t xml:space="preserve">Kpi Thresholds</x:t>
  </x:si>
  <x:si>
    <x:t xml:space="preserve">Not yet populated - built in Phase 4, alongside EVM. Defines RAG (Red/Amber/Green) status logic. These are project assumptions, not industry-mandated values.</x:t>
  </x:si>
  <x:si>
    <x:t xml:space="preserve">kpi</x:t>
  </x:si>
  <x:si>
    <x:t xml:space="preserve">green_threshold</x:t>
  </x:si>
  <x:si>
    <x:t xml:space="preserve">amber_threshold</x:t>
  </x:si>
  <x:si>
    <x:t xml:space="preserve">red_threshold</x:t>
  </x:si>
  <x:si>
    <x:t xml:space="preserve">Dashboard Data</x:t>
  </x:si>
  <x:si>
    <x:t xml:space="preserve">Not yet populated - built in Phase 9 (Power BI Prep). Flattened export tables consumed by the Power BI dashboard.</x:t>
  </x:si>
  <x:si>
    <x:t xml:space="preserve">table_name</x:t>
  </x:si>
  <x:si>
    <x:t xml:space="preserve">description</x:t>
  </x:si>
  <x:si>
    <x:t xml:space="preserve">refreshed_from</x:t>
  </x:si>
</x:sst>
</file>

<file path=xl/styles.xml><?xml version="1.0" encoding="utf-8"?>
<x:styleSheet xmlns:x="http://schemas.openxmlformats.org/spreadsheetml/2006/main">
  <x:numFmts count="7">
    <x:numFmt numFmtId="164" formatCode="General"/>
    <x:numFmt numFmtId="165" formatCode="\$#,##0"/>
    <x:numFmt numFmtId="166" formatCode="0.0%"/>
    <x:numFmt numFmtId="167" formatCode="mmm\-yyyy"/>
    <x:numFmt numFmtId="168" formatCode="General"/>
    <x:numFmt numFmtId="200" formatCode="yyyy-mm-dd"/>
    <x:numFmt numFmtId="201" formatCode="0"/>
  </x:numFmts>
  <x:fonts count="22">
    <x:font>
      <x:sz val="11"/>
      <x:color theme="1"/>
      <x:name val="Calibri"/>
    </x:font>
    <x:font>
      <x:sz val="10"/>
      <x:name val="Arial"/>
    </x:font>
    <x:font>
      <x:sz val="10"/>
      <x:name val="Arial"/>
    </x:font>
    <x:font>
      <x:sz val="10"/>
      <x:name val="Arial"/>
    </x:font>
    <x:font>
      <x:b/>
      <x:sz val="16"/>
      <x:color rgb="FF1F3864"/>
      <x:name val="Arial"/>
    </x:font>
    <x:font>
      <x:sz val="10"/>
      <x:name val="Arial"/>
    </x:font>
    <x:font>
      <x:b/>
      <x:sz val="10"/>
      <x:name val="Arial"/>
    </x:font>
    <x:font>
      <x:b/>
      <x:sz val="14"/>
      <x:color rgb="FF1F3864"/>
      <x:name val="Arial"/>
    </x:font>
    <x:font>
      <x:i/>
      <x:sz val="9"/>
      <x:color rgb="FF595959"/>
      <x:name val="Arial"/>
    </x:font>
    <x:font>
      <x:b/>
      <x:sz val="11"/>
      <x:color rgb="FFFFFFFF"/>
      <x:name val="Arial"/>
    </x:font>
    <x:font>
      <x:sz val="10"/>
      <x:color rgb="FF0000FF"/>
      <x:name val="Arial"/>
    </x:font>
    <x:font>
      <x:i/>
      <x:sz val="10"/>
      <x:name val="Arial"/>
    </x:font>
    <x:font>
      <x:b/>
      <x:sz val="11"/>
      <x:color rgb="FF1F3864"/>
      <x:name val="Arial"/>
    </x:font>
    <x:font>
      <x:b/>
      <x:sz val="9"/>
      <x:color rgb="FF595959"/>
      <x:name val="Arial"/>
    </x:font>
    <x:font>
      <x:sz val="9"/>
      <x:color rgb="FF595959"/>
      <x:name val="Arial"/>
    </x:font>
    <x:font>
      <x:b/>
      <x:sz val="11"/>
      <x:color rgb="FFFFFFFF"/>
      <x:name val="Calibri"/>
    </x:font>
    <x:font>
      <x:b/>
      <x:sz val="11"/>
      <x:color theme="1"/>
      <x:name val="Calibri"/>
    </x:font>
    <x:font>
      <x:b/>
      <x:sz val="10"/>
      <x:color theme="1"/>
      <x:name val="Calibri"/>
    </x:font>
    <x:font>
      <x:sz val="10"/>
      <x:color theme="1"/>
      <x:name val="Calibri"/>
    </x:font>
    <x:font>
      <x:b/>
      <x:sz val="10"/>
      <x:color rgb="FF12324B"/>
      <x:name val="Calibri"/>
    </x:font>
    <x:font>
      <x:sz val="10"/>
      <x:color rgb="FF12324B"/>
      <x:name val="Calibri"/>
    </x:font>
    <x:font>
      <x:b/>
      <x:sz val="10"/>
      <x:color rgb="FFFFFFFF"/>
      <x:name val="Calibri"/>
    </x:font>
  </x:fonts>
  <x:fills count="6">
    <x:fill>
      <x:patternFill patternType="none"/>
    </x:fill>
    <x:fill>
      <x:patternFill patternType="gray125"/>
    </x:fill>
    <x:fill>
      <x:patternFill patternType="solid">
        <x:fgColor rgb="FF1F3864"/>
      </x:patternFill>
    </x:fill>
    <x:fill>
      <x:patternFill patternType="solid">
        <x:fgColor rgb="FF12324B"/>
      </x:patternFill>
    </x:fill>
    <x:fill>
      <x:patternFill patternType="solid">
        <x:fgColor rgb="FFEAF3F6"/>
      </x:patternFill>
    </x:fill>
    <x:fill>
      <x:patternFill patternType="solid">
        <x:fgColor rgb="FF12324B"/>
      </x:patternFill>
    </x:fill>
  </x:fills>
  <x:borders count="6">
    <x:border diagonalUp="0" diagonalDown="0"/>
    <x:border diagonalUp="0" diagonalDown="0"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  <x:border diagonalUp="0" diagonalDown="0">
      <x:top style="double"/>
      <x:bottom style="double"/>
    </x:border>
    <x:border diagonalUp="0" diagonalDown="0"/>
    <x:border diagonalUp="0" diagonalDown="0"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  <x:border diagonalUp="0" diagonalDown="0">
      <x:top style="double"/>
      <x:bottom style="double"/>
    </x:border>
  </x:borders>
  <x:cellStyleXfs count="20">
    <x:xf numFmtId="164" fontId="0" fillId="0" borderId="0" applyFont="1" applyBorder="1" applyAlignment="1" applyProtection="1">
      <x:alignment horizontal="general" vertical="bottom" wrapText="0" shrinkToFit="0"/>
      <x:protection locked="1" hidden="0"/>
    </x:xf>
    <x:xf numFmtId="0" fontId="1" fillId="0" borderId="0" applyFont="1" applyBorder="0" applyAlignment="0" applyProtection="0"/>
    <x:xf numFmtId="0" fontId="1" fillId="0" borderId="0" applyFont="1" applyBorder="0" applyAlignment="0" applyProtection="0"/>
    <x:xf numFmtId="0" fontId="2" fillId="0" borderId="0" applyFont="1" applyBorder="0" applyAlignment="0" applyProtection="0"/>
    <x:xf numFmtId="0" fontId="2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43" fontId="1" fillId="0" borderId="0" applyFont="1" applyBorder="0" applyAlignment="0" applyProtection="0"/>
    <x:xf numFmtId="41" fontId="1" fillId="0" borderId="0" applyFont="1" applyBorder="0" applyAlignment="0" applyProtection="0"/>
    <x:xf numFmtId="44" fontId="1" fillId="0" borderId="0" applyFont="1" applyBorder="0" applyAlignment="0" applyProtection="0"/>
    <x:xf numFmtId="42" fontId="1" fillId="0" borderId="0" applyFont="1" applyBorder="0" applyAlignment="0" applyProtection="0"/>
    <x:xf numFmtId="9" fontId="1" fillId="0" borderId="0" applyFont="1" applyBorder="0" applyAlignment="0" applyProtection="0"/>
  </x:cellStyleXfs>
  <x:cellXfs count="95">
    <x:xf numFmtId="164" fontId="0" fillId="0" borderId="0" xfId="0" applyFont="0" applyBorder="0" applyAlignment="0">
      <x:alignment horizontal="general" vertical="bottom" wrapText="0"/>
    </x:xf>
    <x:xf numFmtId="164" fontId="4" fillId="0" borderId="0" xfId="0" applyFont="1" applyBorder="0" applyAlignment="0">
      <x:alignment horizontal="general" vertical="bottom" wrapText="0"/>
    </x:xf>
    <x:xf numFmtId="164" fontId="5" fillId="0" borderId="0" xfId="0" applyFont="1" applyBorder="0" applyAlignment="0">
      <x:alignment horizontal="general" vertical="bottom" wrapText="0"/>
    </x:xf>
    <x:xf numFmtId="164" fontId="6" fillId="0" borderId="0" xfId="0" applyFont="1" applyBorder="0" applyAlignment="0">
      <x:alignment horizontal="general" vertical="bottom" wrapText="0"/>
    </x:xf>
    <x:xf numFmtId="164" fontId="7" fillId="0" borderId="0" xfId="0" applyFont="1" applyBorder="1" applyAlignment="0">
      <x:alignment horizontal="general" vertical="bottom" wrapText="0"/>
    </x:xf>
    <x:xf numFmtId="164" fontId="8" fillId="0" borderId="0" xfId="0" applyFont="1" applyBorder="1" applyAlignment="0">
      <x:alignment horizontal="general" vertical="bottom" wrapText="0"/>
    </x:xf>
    <x:xf numFmtId="164" fontId="9" fillId="2" borderId="1" xfId="0" applyFont="1" applyBorder="1" applyAlignment="1">
      <x:alignment horizontal="general" vertical="center" wrapText="1"/>
    </x:xf>
    <x:xf numFmtId="164" fontId="10" fillId="0" borderId="1" xfId="0" applyFont="1" applyBorder="1" applyAlignment="1">
      <x:alignment horizontal="general" vertical="center" wrapText="0"/>
    </x:xf>
    <x:xf numFmtId="165" fontId="10" fillId="0" borderId="1" xfId="0" applyFont="1" applyBorder="1" applyAlignment="0">
      <x:alignment horizontal="general" vertical="bottom" wrapText="0"/>
    </x:xf>
    <x:xf numFmtId="166" fontId="0" fillId="0" borderId="1" xfId="0" applyFont="0" applyBorder="1" applyAlignment="0">
      <x:alignment horizontal="general" vertical="bottom" wrapText="0"/>
    </x:xf>
    <x:xf numFmtId="167" fontId="10" fillId="0" borderId="1" xfId="0" applyFont="1" applyBorder="1" applyAlignment="0">
      <x:alignment horizontal="general" vertical="bottom" wrapText="0"/>
    </x:xf>
    <x:xf numFmtId="168" fontId="0" fillId="0" borderId="1" xfId="0" applyFont="0" applyBorder="1" applyAlignment="0">
      <x:alignment horizontal="general" vertical="bottom" wrapText="0"/>
    </x:xf>
    <x:xf numFmtId="164" fontId="6" fillId="0" borderId="1" xfId="0" applyFont="1" applyBorder="1" applyAlignment="0">
      <x:alignment horizontal="general" vertical="bottom" wrapText="0"/>
    </x:xf>
    <x:xf numFmtId="165" fontId="6" fillId="0" borderId="1" xfId="0" applyFont="1" applyBorder="1" applyAlignment="0">
      <x:alignment horizontal="general" vertical="bottom" wrapText="0"/>
    </x:xf>
    <x:xf numFmtId="164" fontId="11" fillId="0" borderId="0" xfId="0" applyFont="1" applyBorder="0" applyAlignment="0">
      <x:alignment horizontal="general" vertical="bottom" wrapText="0"/>
    </x:xf>
    <x:xf numFmtId="165" fontId="10" fillId="0" borderId="0" xfId="0" applyFont="1" applyBorder="0" applyAlignment="0">
      <x:alignment horizontal="general" vertical="bottom" wrapText="0"/>
    </x:xf>
    <x:xf numFmtId="164" fontId="12" fillId="0" borderId="0" xfId="0" applyFont="1" applyBorder="0" applyAlignment="0">
      <x:alignment horizontal="general" vertical="bottom" wrapText="0"/>
    </x:xf>
    <x:xf numFmtId="165" fontId="12" fillId="0" borderId="2" xfId="0" applyFont="1" applyBorder="1" applyAlignment="0">
      <x:alignment horizontal="general" vertical="bottom" wrapText="0"/>
    </x:xf>
    <x:xf numFmtId="164" fontId="13" fillId="0" borderId="0" xfId="0" applyFont="1" applyBorder="0" applyAlignment="0">
      <x:alignment horizontal="general" vertical="bottom" wrapText="0"/>
    </x:xf>
    <x:xf numFmtId="164" fontId="14" fillId="0" borderId="0" xfId="0" applyFont="1" applyBorder="0" applyAlignment="0">
      <x:alignment horizontal="general" vertical="bottom" wrapText="0"/>
    </x:xf>
    <x:xf numFmtId="164" fontId="5" fillId="0" borderId="1" xfId="0" applyFont="1" applyBorder="1" applyAlignment="1">
      <x:alignment horizontal="general" vertical="top" wrapText="1"/>
    </x:xf>
    <x:xf numFmtId="164" fontId="0" fillId="0" borderId="0" xfId="0" applyFont="0" applyBorder="0" applyAlignment="0">
      <x:alignment horizontal="general" vertical="bottom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164" fontId="0" fillId="0" borderId="3" xfId="0" applyNumberFormat="1" applyFont="1" applyFill="1" applyBorder="1" applyAlignment="1">
      <x:alignment horizontal="general" vertical="bottom" wrapText="0"/>
    </x:xf>
    <x:xf numFmtId="164" fontId="4" fillId="0" borderId="3" xfId="0" applyNumberFormat="1" applyFont="1" applyFill="1" applyBorder="1" applyAlignment="1">
      <x:alignment horizontal="general" vertical="bottom" wrapText="0"/>
    </x:xf>
    <x:xf numFmtId="164" fontId="1" fillId="0" borderId="3" xfId="0" applyNumberFormat="1" applyFont="1" applyFill="1" applyBorder="1" applyAlignment="1">
      <x:alignment horizontal="general" vertical="bottom" wrapText="0"/>
    </x:xf>
    <x:xf numFmtId="164" fontId="6" fillId="0" borderId="3" xfId="0" applyNumberFormat="1" applyFont="1" applyFill="1" applyBorder="1" applyAlignment="1">
      <x:alignment horizontal="general" vertical="bottom" wrapText="0"/>
    </x:xf>
    <x:xf numFmtId="164" fontId="7" fillId="0" borderId="3" xfId="0" applyNumberFormat="1" applyFont="1" applyFill="1" applyBorder="1" applyAlignment="1">
      <x:alignment horizontal="general" vertical="bottom" wrapText="0"/>
    </x:xf>
    <x:xf numFmtId="164" fontId="8" fillId="0" borderId="3" xfId="0" applyNumberFormat="1" applyFont="1" applyFill="1" applyBorder="1" applyAlignment="1">
      <x:alignment horizontal="general" vertical="bottom" wrapText="0"/>
    </x:xf>
    <x:xf numFmtId="164" fontId="9" fillId="2" borderId="4" xfId="0" applyNumberFormat="1" applyFont="1" applyFill="1" applyBorder="1" applyAlignment="1">
      <x:alignment horizontal="general" vertical="center" wrapText="1"/>
    </x:xf>
    <x:xf numFmtId="164" fontId="10" fillId="0" borderId="4" xfId="0" applyNumberFormat="1" applyFont="1" applyFill="1" applyBorder="1" applyAlignment="1">
      <x:alignment horizontal="general" vertical="center" wrapText="0"/>
    </x:xf>
    <x:xf numFmtId="165" fontId="10" fillId="0" borderId="4" xfId="0" applyNumberFormat="1" applyFont="1" applyFill="1" applyBorder="1" applyAlignment="1">
      <x:alignment horizontal="general" vertical="bottom" wrapText="0"/>
    </x:xf>
    <x:xf numFmtId="166" fontId="0" fillId="0" borderId="4" xfId="0" applyNumberFormat="1" applyFont="1" applyFill="1" applyBorder="1" applyAlignment="1">
      <x:alignment horizontal="general" vertical="bottom" wrapText="0"/>
    </x:xf>
    <x:xf numFmtId="167" fontId="10" fillId="0" borderId="4" xfId="0" applyNumberFormat="1" applyFont="1" applyFill="1" applyBorder="1" applyAlignment="1">
      <x:alignment horizontal="general" vertical="bottom" wrapText="0"/>
    </x:xf>
    <x:xf numFmtId="164" fontId="0" fillId="0" borderId="4" xfId="0" applyNumberFormat="1" applyFont="1" applyFill="1" applyBorder="1" applyAlignment="1">
      <x:alignment horizontal="general" vertical="bottom" wrapText="0"/>
    </x:xf>
    <x:xf numFmtId="164" fontId="6" fillId="0" borderId="4" xfId="0" applyNumberFormat="1" applyFont="1" applyFill="1" applyBorder="1" applyAlignment="1">
      <x:alignment horizontal="general" vertical="bottom" wrapText="0"/>
    </x:xf>
    <x:xf numFmtId="165" fontId="6" fillId="0" borderId="4" xfId="0" applyNumberFormat="1" applyFont="1" applyFill="1" applyBorder="1" applyAlignment="1">
      <x:alignment horizontal="general" vertical="bottom" wrapText="0"/>
    </x:xf>
    <x:xf numFmtId="164" fontId="11" fillId="0" borderId="3" xfId="0" applyNumberFormat="1" applyFont="1" applyFill="1" applyBorder="1" applyAlignment="1">
      <x:alignment horizontal="general" vertical="bottom" wrapText="0"/>
    </x:xf>
    <x:xf numFmtId="165" fontId="10" fillId="0" borderId="3" xfId="0" applyNumberFormat="1" applyFont="1" applyFill="1" applyBorder="1" applyAlignment="1">
      <x:alignment horizontal="general" vertical="bottom" wrapText="0"/>
    </x:xf>
    <x:xf numFmtId="164" fontId="12" fillId="0" borderId="3" xfId="0" applyNumberFormat="1" applyFont="1" applyFill="1" applyBorder="1" applyAlignment="1">
      <x:alignment horizontal="general" vertical="bottom" wrapText="0"/>
    </x:xf>
    <x:xf numFmtId="165" fontId="12" fillId="0" borderId="5" xfId="0" applyNumberFormat="1" applyFont="1" applyFill="1" applyBorder="1" applyAlignment="1">
      <x:alignment horizontal="general" vertical="bottom" wrapText="0"/>
    </x:xf>
    <x:xf numFmtId="164" fontId="13" fillId="0" borderId="3" xfId="0" applyNumberFormat="1" applyFont="1" applyFill="1" applyBorder="1" applyAlignment="1">
      <x:alignment horizontal="general" vertical="bottom" wrapText="0"/>
    </x:xf>
    <x:xf numFmtId="164" fontId="14" fillId="0" borderId="3" xfId="0" applyNumberFormat="1" applyFont="1" applyFill="1" applyBorder="1" applyAlignment="1">
      <x:alignment horizontal="general" vertical="bottom" wrapText="0"/>
    </x:xf>
    <x:xf numFmtId="164" fontId="1" fillId="0" borderId="4" xfId="0" applyNumberFormat="1" applyFont="1" applyFill="1" applyBorder="1" applyAlignment="1">
      <x:alignment horizontal="general" vertical="top" wrapText="1"/>
    </x:xf>
    <x:xf numFmtId="164" fontId="0" fillId="0" borderId="3" xfId="0" applyNumberFormat="1" applyFont="1" applyFill="1" applyBorder="1" applyAlignment="1">
      <x:alignment horizontal="general" vertical="bottom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164" fontId="9" fillId="3" borderId="1" xfId="0" applyNumberFormat="1" applyFont="1" applyFill="1" applyBorder="1" applyAlignment="1">
      <x:alignment horizontal="general" vertical="center" wrapText="1"/>
    </x:xf>
    <x:xf numFmtId="164" fontId="0" fillId="3" borderId="0" xfId="0" applyNumberFormat="1" applyFont="1" applyFill="1" applyBorder="1" applyAlignment="1">
      <x:alignment horizontal="general" vertical="bottom" wrapText="0"/>
    </x:xf>
    <x:xf numFmtId="164" fontId="15" fillId="3" borderId="0" xfId="0" applyNumberFormat="1" applyFont="1" applyFill="1" applyBorder="1" applyAlignment="1">
      <x:alignment horizontal="general" vertical="bottom" wrapText="0"/>
    </x:xf>
    <x:xf numFmtId="164" fontId="15" fillId="3" borderId="0" xfId="0" applyNumberFormat="1" applyFont="1" applyFill="1" applyBorder="1" applyAlignment="1">
      <x:alignment horizontal="general" vertical="bottom" wrapText="1"/>
    </x:xf>
    <x:xf numFmtId="164" fontId="15" fillId="3" borderId="0" xfId="0" applyNumberFormat="1" applyFont="1" applyFill="1" applyBorder="1" applyAlignment="1">
      <x:alignment horizontal="general" vertical="center" wrapText="1"/>
    </x:xf>
    <x:xf numFmtId="164" fontId="9" fillId="3" borderId="4" xfId="0" applyNumberFormat="1" applyFont="1" applyFill="1" applyBorder="1" applyAlignment="1">
      <x:alignment horizontal="general" vertical="center" wrapText="1"/>
    </x:xf>
    <x:xf numFmtId="164" fontId="0" fillId="3" borderId="3" xfId="0" applyNumberFormat="1" applyFont="1" applyFill="1" applyBorder="1" applyAlignment="1">
      <x:alignment horizontal="general" vertical="bottom" wrapText="0"/>
    </x:xf>
    <x:xf numFmtId="164" fontId="15" fillId="3" borderId="3" xfId="0" applyNumberFormat="1" applyFont="1" applyFill="1" applyBorder="1" applyAlignment="1">
      <x:alignment horizontal="general" vertical="bottom" wrapText="0"/>
    </x:xf>
    <x:xf numFmtId="164" fontId="15" fillId="3" borderId="3" xfId="0" applyNumberFormat="1" applyFont="1" applyFill="1" applyBorder="1" applyAlignment="1">
      <x:alignment horizontal="general" vertical="bottom" wrapText="1"/>
    </x:xf>
    <x:xf numFmtId="164" fontId="15" fillId="3" borderId="3" xfId="0" applyNumberFormat="1" applyFont="1" applyFill="1" applyBorder="1" applyAlignment="1">
      <x:alignment horizontal="general" vertical="center" wrapText="1"/>
    </x:xf>
    <x:xf numFmtId="200" fontId="0" fillId="0" borderId="0" xfId="0" applyNumberFormat="1" applyFont="1" applyFill="1" applyBorder="1" applyAlignment="1">
      <x:alignment horizontal="general" vertical="bottom" wrapText="0"/>
    </x:xf>
    <x:xf numFmtId="200" fontId="0" fillId="0" borderId="3" xfId="0" applyNumberFormat="1" applyFont="1" applyFill="1" applyBorder="1" applyAlignment="1">
      <x:alignment horizontal="general" vertical="bottom" wrapText="0"/>
    </x:xf>
    <x:xf numFmtId="164" fontId="0" fillId="0" borderId="0" xfId="0" applyNumberFormat="1" applyFont="1" applyFill="1" applyBorder="1" applyAlignment="1">
      <x:alignment horizontal="general" vertical="bottom" wrapText="0"/>
    </x:xf>
    <x:xf numFmtId="164" fontId="4" fillId="0" borderId="0" xfId="0" applyNumberFormat="1" applyFont="1" applyFill="1" applyBorder="1" applyAlignment="1">
      <x:alignment horizontal="general" vertical="bottom" wrapText="0"/>
    </x:xf>
    <x:xf numFmtId="164" fontId="1" fillId="0" borderId="0" xfId="0" applyNumberFormat="1" applyFont="1" applyFill="1" applyBorder="1" applyAlignment="1">
      <x:alignment horizontal="general" vertical="bottom" wrapText="0"/>
    </x:xf>
    <x:xf numFmtId="164" fontId="6" fillId="0" borderId="0" xfId="0" applyNumberFormat="1" applyFont="1" applyFill="1" applyBorder="1" applyAlignment="1">
      <x:alignment horizontal="general" vertical="bottom" wrapText="0"/>
    </x:xf>
    <x:xf numFmtId="164" fontId="7" fillId="0" borderId="0" xfId="0" applyNumberFormat="1" applyFont="1" applyFill="1" applyBorder="1" applyAlignment="1">
      <x:alignment horizontal="general" vertical="bottom" wrapText="0"/>
    </x:xf>
    <x:xf numFmtId="164" fontId="8" fillId="0" borderId="0" xfId="0" applyNumberFormat="1" applyFont="1" applyFill="1" applyBorder="1" applyAlignment="1">
      <x:alignment horizontal="general" vertical="bottom" wrapText="0"/>
    </x:xf>
    <x:xf numFmtId="164" fontId="9" fillId="2" borderId="1" xfId="0" applyNumberFormat="1" applyFont="1" applyFill="1" applyBorder="1" applyAlignment="1">
      <x:alignment horizontal="general" vertical="center" wrapText="1"/>
    </x:xf>
    <x:xf numFmtId="164" fontId="10" fillId="0" borderId="1" xfId="0" applyNumberFormat="1" applyFont="1" applyFill="1" applyBorder="1" applyAlignment="1">
      <x:alignment horizontal="general" vertical="center" wrapText="0"/>
    </x:xf>
    <x:xf numFmtId="165" fontId="10" fillId="0" borderId="1" xfId="0" applyNumberFormat="1" applyFont="1" applyFill="1" applyBorder="1" applyAlignment="1">
      <x:alignment horizontal="general" vertical="bottom" wrapText="0"/>
    </x:xf>
    <x:xf numFmtId="166" fontId="0" fillId="0" borderId="1" xfId="0" applyNumberFormat="1" applyFont="1" applyFill="1" applyBorder="1" applyAlignment="1">
      <x:alignment horizontal="general" vertical="bottom" wrapText="0"/>
    </x:xf>
    <x:xf numFmtId="167" fontId="10" fillId="0" borderId="1" xfId="0" applyNumberFormat="1" applyFont="1" applyFill="1" applyBorder="1" applyAlignment="1">
      <x:alignment horizontal="general" vertical="bottom" wrapText="0"/>
    </x:xf>
    <x:xf numFmtId="164" fontId="0" fillId="0" borderId="1" xfId="0" applyNumberFormat="1" applyFont="1" applyFill="1" applyBorder="1" applyAlignment="1">
      <x:alignment horizontal="general" vertical="bottom" wrapText="0"/>
    </x:xf>
    <x:xf numFmtId="164" fontId="6" fillId="0" borderId="1" xfId="0" applyNumberFormat="1" applyFont="1" applyFill="1" applyBorder="1" applyAlignment="1">
      <x:alignment horizontal="general" vertical="bottom" wrapText="0"/>
    </x:xf>
    <x:xf numFmtId="165" fontId="6" fillId="0" borderId="1" xfId="0" applyNumberFormat="1" applyFont="1" applyFill="1" applyBorder="1" applyAlignment="1">
      <x:alignment horizontal="general" vertical="bottom" wrapText="0"/>
    </x:xf>
    <x:xf numFmtId="164" fontId="11" fillId="0" borderId="0" xfId="0" applyNumberFormat="1" applyFont="1" applyFill="1" applyBorder="1" applyAlignment="1">
      <x:alignment horizontal="general" vertical="bottom" wrapText="0"/>
    </x:xf>
    <x:xf numFmtId="165" fontId="10" fillId="0" borderId="0" xfId="0" applyNumberFormat="1" applyFont="1" applyFill="1" applyBorder="1" applyAlignment="1">
      <x:alignment horizontal="general" vertical="bottom" wrapText="0"/>
    </x:xf>
    <x:xf numFmtId="164" fontId="12" fillId="0" borderId="0" xfId="0" applyNumberFormat="1" applyFont="1" applyFill="1" applyBorder="1" applyAlignment="1">
      <x:alignment horizontal="general" vertical="bottom" wrapText="0"/>
    </x:xf>
    <x:xf numFmtId="165" fontId="12" fillId="0" borderId="2" xfId="0" applyNumberFormat="1" applyFont="1" applyFill="1" applyBorder="1" applyAlignment="1">
      <x:alignment horizontal="general" vertical="bottom" wrapText="0"/>
    </x:xf>
    <x:xf numFmtId="164" fontId="13" fillId="0" borderId="0" xfId="0" applyNumberFormat="1" applyFont="1" applyFill="1" applyBorder="1" applyAlignment="1">
      <x:alignment horizontal="general" vertical="bottom" wrapText="0"/>
    </x:xf>
    <x:xf numFmtId="164" fontId="14" fillId="0" borderId="0" xfId="0" applyNumberFormat="1" applyFont="1" applyFill="1" applyBorder="1" applyAlignment="1">
      <x:alignment horizontal="general" vertical="bottom" wrapText="0"/>
    </x:xf>
    <x:xf numFmtId="164" fontId="1" fillId="0" borderId="1" xfId="0" applyNumberFormat="1" applyFont="1" applyFill="1" applyBorder="1" applyAlignment="1">
      <x:alignment horizontal="general" vertical="top" wrapText="1"/>
    </x:xf>
    <x:xf numFmtId="164" fontId="0" fillId="0" borderId="0" xfId="0" applyNumberFormat="1" applyFont="1" applyFill="1" applyBorder="1" applyAlignment="1">
      <x:alignment horizontal="general" vertical="bottom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0" xfId="0" applyNumberFormat="1" applyFont="1" applyFill="1" applyBorder="1" applyAlignment="1">
      <x:alignment horizontal="general" vertical="bottom" wrapText="0"/>
    </x:xf>
    <x:xf numFmtId="164" fontId="0" fillId="0" borderId="0" xfId="0" applyNumberFormat="1" applyFont="1" applyFill="1" applyBorder="1" applyAlignment="1">
      <x:alignment horizontal="general" vertical="bottom" wrapText="1"/>
    </x:xf>
    <x:xf numFmtId="164" fontId="16" fillId="0" borderId="0" xfId="0" applyNumberFormat="1" applyFont="1" applyFill="1" applyBorder="1" applyAlignment="1">
      <x:alignment horizontal="general" vertical="bottom" wrapText="1"/>
    </x:xf>
    <x:xf numFmtId="164" fontId="16" fillId="0" borderId="0" xfId="0" applyNumberFormat="1" applyFont="1" applyFill="1" applyBorder="1" applyAlignment="1">
      <x:alignment horizontal="general" vertical="center" wrapText="1"/>
    </x:xf>
    <x:xf numFmtId="164" fontId="0" fillId="0" borderId="0" xfId="0" applyNumberFormat="1" applyFont="1" applyFill="1" applyBorder="1" applyAlignment="1">
      <x:alignment horizontal="general" vertical="center" wrapText="1"/>
    </x:xf>
    <x:xf numFmtId="164" fontId="16" fillId="4" borderId="0" xfId="0" applyNumberFormat="1" applyFont="1" applyFill="1" applyBorder="1" applyAlignment="1">
      <x:alignment horizontal="general" vertical="center" wrapText="1"/>
    </x:xf>
    <x:xf numFmtId="164" fontId="16" fillId="0" borderId="0" xfId="0" applyNumberFormat="1" applyFont="1" applyFill="1" applyBorder="1" applyAlignment="1">
      <x:alignment horizontal="general" vertical="bottom" wrapText="0"/>
    </x:xf>
    <x:xf numFmtId="164" fontId="17" fillId="4" borderId="0" xfId="0" applyNumberFormat="1" applyFont="1" applyFill="1" applyBorder="1" applyAlignment="1">
      <x:alignment horizontal="general" vertical="center" wrapText="1"/>
    </x:xf>
    <x:xf numFmtId="164" fontId="18" fillId="0" borderId="0" xfId="0" applyNumberFormat="1" applyFont="1" applyFill="1" applyBorder="1" applyAlignment="1">
      <x:alignment horizontal="general" vertical="center" wrapText="1"/>
    </x:xf>
    <x:xf numFmtId="164" fontId="19" fillId="4" borderId="0" xfId="0" applyNumberFormat="1" applyFont="1" applyFill="1" applyBorder="1" applyAlignment="1">
      <x:alignment horizontal="general" vertical="center" wrapText="1"/>
    </x:xf>
    <x:xf numFmtId="164" fontId="20" fillId="0" borderId="0" xfId="0" applyNumberFormat="1" applyFont="1" applyFill="1" applyBorder="1" applyAlignment="1">
      <x:alignment horizontal="general" vertical="center" wrapText="1"/>
    </x:xf>
    <x:xf numFmtId="164" fontId="0" fillId="5" borderId="0" xfId="0" applyNumberFormat="1" applyFont="1" applyFill="1" applyBorder="1" applyAlignment="1">
      <x:alignment horizontal="general" vertical="bottom" wrapText="0"/>
    </x:xf>
    <x:xf numFmtId="164" fontId="15" fillId="5" borderId="0" xfId="0" applyNumberFormat="1" applyFont="1" applyFill="1" applyBorder="1" applyAlignment="1">
      <x:alignment horizontal="general" vertical="bottom" wrapText="0"/>
    </x:xf>
    <x:xf numFmtId="164" fontId="15" fillId="5" borderId="0" xfId="0" applyNumberFormat="1" applyFont="1" applyFill="1" applyBorder="1" applyAlignment="1">
      <x:alignment horizontal="general" vertical="bottom" wrapText="1"/>
    </x:xf>
    <x:xf numFmtId="164" fontId="19" fillId="5" borderId="0" xfId="0" applyNumberFormat="1" applyFont="1" applyFill="1" applyBorder="1" applyAlignment="1">
      <x:alignment horizontal="general" vertical="center" wrapText="1"/>
    </x:xf>
    <x:xf numFmtId="164" fontId="20" fillId="5" borderId="0" xfId="0" applyNumberFormat="1" applyFont="1" applyFill="1" applyBorder="1" applyAlignment="1">
      <x:alignment horizontal="general" vertical="center" wrapText="1"/>
    </x:xf>
    <x:xf numFmtId="164" fontId="21" fillId="5" borderId="0" xfId="0" applyNumberFormat="1" applyFont="1" applyFill="1" applyBorder="1" applyAlignment="1">
      <x:alignment horizontal="general" vertical="center" wrapText="1"/>
    </x:xf>
  </x:cellXfs>
  <x:cellStyles count="6">
    <x:cellStyle name="Normal" xfId="0"/>
    <x:cellStyle name="Comma" xfId="15"/>
    <x:cellStyle name="Comma [0]" xfId="16"/>
    <x:cellStyle name="Currency" xfId="17"/>
    <x:cellStyle name="Currency [0]" xfId="18"/>
    <x:cellStyle name="Percent" xfId="19"/>
  </x:cellStyle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800000"/>
      <x:rgbColor rgb="FF008000"/>
      <x:rgbColor rgb="FF000080"/>
      <x:rgbColor rgb="FF808000"/>
      <x:rgbColor rgb="FF800080"/>
      <x:rgbColor rgb="FF008080"/>
      <x:rgbColor rgb="FFBFBFBF"/>
      <x:rgbColor rgb="FF808080"/>
      <x:rgbColor rgb="FF9999FF"/>
      <x:rgbColor rgb="FF993366"/>
      <x:rgbColor rgb="FFFFFFCC"/>
      <x:rgbColor rgb="FFCCFFFF"/>
      <x:rgbColor rgb="FF660066"/>
      <x:rgbColor rgb="FFFF8080"/>
      <x:rgbColor rgb="FF0066CC"/>
      <x:rgbColor rgb="FFCCCCFF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CCFFFF"/>
      <x:rgbColor rgb="FFCCFFCC"/>
      <x:rgbColor rgb="FFFFFF99"/>
      <x:rgbColor rgb="FF99CCFF"/>
      <x:rgbColor rgb="FFFF99CC"/>
      <x:rgbColor rgb="FFCC99FF"/>
      <x:rgbColor rgb="FFFFCC99"/>
      <x:rgbColor rgb="FF3366FF"/>
      <x:rgbColor rgb="FF33CCCC"/>
      <x:rgbColor rgb="FF99CC00"/>
      <x:rgbColor rgb="FFFFCC00"/>
      <x:rgbColor rgb="FFFF9900"/>
      <x:rgbColor rgb="FFFF6600"/>
      <x:rgbColor rgb="FF595959"/>
      <x:rgbColor rgb="FF969696"/>
      <x:rgbColor rgb="FF1F3864"/>
      <x:rgbColor rgb="FF339966"/>
      <x:rgbColor rgb="FF003300"/>
      <x:rgbColor rgb="FF333300"/>
      <x:rgbColor rgb="FF993300"/>
      <x:rgbColor rgb="FF993366"/>
      <x:rgbColor rgb="FF333399"/>
      <x:rgbColor rgb="FF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858a82be91c484b" /><Relationship Type="http://schemas.openxmlformats.org/officeDocument/2006/relationships/theme" Target="/xl/theme/theme1.xml" Id="R4c26c5f7923f4043" /><Relationship Type="http://schemas.microsoft.com/office/2022/11/relationships/FeaturePropertyBag" Target="/xl/featurePropertyBag/featurePropertyBag.xml" Id="R39a4354136224da7" /><Relationship Type="http://schemas.openxmlformats.org/officeDocument/2006/relationships/sharedStrings" Target="/xl/sharedStrings.xml" Id="R189c72015e4a4bf6" /><Relationship Type="http://schemas.openxmlformats.org/officeDocument/2006/relationships/worksheet" Target="/xl/worksheets/sheet1.xml" Id="Rfcba018e04e54c09" /><Relationship Type="http://schemas.openxmlformats.org/officeDocument/2006/relationships/worksheet" Target="/xl/worksheets/sheet2.xml" Id="R5d7531fd54a04110" /><Relationship Type="http://schemas.openxmlformats.org/officeDocument/2006/relationships/worksheet" Target="/xl/worksheets/sheet3.xml" Id="R1ddbe4e3442b4018" /><Relationship Type="http://schemas.openxmlformats.org/officeDocument/2006/relationships/worksheet" Target="/xl/worksheets/sheet4.xml" Id="R7fdd62c9c8244378" /><Relationship Type="http://schemas.openxmlformats.org/officeDocument/2006/relationships/worksheet" Target="/xl/worksheets/sheet5.xml" Id="R46646a67c2f841b6" /><Relationship Type="http://schemas.openxmlformats.org/officeDocument/2006/relationships/worksheet" Target="/xl/worksheets/sheet6.xml" Id="Re229219c7ac449a8" /><Relationship Type="http://schemas.openxmlformats.org/officeDocument/2006/relationships/worksheet" Target="/xl/worksheets/sheet7.xml" Id="Rd0b9a4389ada42f6" /><Relationship Type="http://schemas.openxmlformats.org/officeDocument/2006/relationships/worksheet" Target="/xl/worksheets/sheet8.xml" Id="R056552ead65b4f60" /><Relationship Type="http://schemas.openxmlformats.org/officeDocument/2006/relationships/worksheet" Target="/xl/worksheets/sheet9.xml" Id="Rf862b48293b64ba2" /><Relationship Type="http://schemas.openxmlformats.org/officeDocument/2006/relationships/worksheet" Target="/xl/worksheets/sheet10.xml" Id="Raf0e52ff95804712" /><Relationship Type="http://schemas.openxmlformats.org/officeDocument/2006/relationships/worksheet" Target="/xl/worksheets/sheet11.xml" Id="R0db4e8516a1c49f0" /><Relationship Type="http://schemas.openxmlformats.org/officeDocument/2006/relationships/worksheet" Target="/xl/worksheets/sheet12.xml" Id="R4e4707bea1994195" /><Relationship Type="http://schemas.openxmlformats.org/officeDocument/2006/relationships/worksheet" Target="/xl/worksheets/sheet13.xml" Id="R321d4af2c3ef4516" /><Relationship Type="http://schemas.openxmlformats.org/officeDocument/2006/relationships/worksheet" Target="/xl/worksheets/sheet14.xml" Id="Ra64e1873b8874c4d" /><Relationship Type="http://schemas.openxmlformats.org/officeDocument/2006/relationships/worksheet" Target="/xl/worksheets/sheet15.xml" Id="R992b197b3ede47c4" /><Relationship Type="http://schemas.openxmlformats.org/officeDocument/2006/relationships/worksheet" Target="/xl/worksheets/sheet16.xml" Id="R05108a352b64488c" /><Relationship Type="http://schemas.openxmlformats.org/officeDocument/2006/relationships/worksheet" Target="/xl/worksheets/sheet17.xml" Id="R5baacd5aab8d482d" /><Relationship Type="http://schemas.openxmlformats.org/officeDocument/2006/relationships/worksheet" Target="/xl/worksheets/sheet18.xml" Id="R40506871896446b1" /><Relationship Type="http://schemas.openxmlformats.org/officeDocument/2006/relationships/worksheet" Target="/xl/worksheets/sheet19.xml" Id="R65c4d489931e483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5"/>
  <x:cols>
    <x:col min="1" max="1" width="100" hidden="0" customWidth="1"/>
  </x:cols>
  <x:sheetData>
    <x:row r="1" ht="19.700000762939453" hidden="0">
      <x:c r="A1" s="1" t="s">
        <x:v>0</x:v>
      </x:c>
    </x:row>
    <x:row r="2" ht="15" hidden="0">
      <x:c r="A2" s="2" t="s">
        <x:v>1</x:v>
      </x:c>
    </x:row>
    <x:row r="3" ht="15" hidden="0">
      <x:c r="A3" s="2"/>
    </x:row>
    <x:row r="4" ht="15" hidden="0">
      <x:c r="A4" s="2" t="s">
        <x:v>2</x:v>
      </x:c>
    </x:row>
    <x:row r="5" ht="15" hidden="0">
      <x:c r="A5" s="2" t="s">
        <x:v>3</x:v>
      </x:c>
    </x:row>
    <x:row r="6" ht="15" hidden="0">
      <x:c r="A6" s="2" t="s">
        <x:v>4</x:v>
      </x:c>
    </x:row>
    <x:row r="7" ht="15" hidden="0">
      <x:c r="A7" s="2"/>
    </x:row>
    <x:row r="8" ht="15" hidden="0">
      <x:c r="A8" s="2" t="s">
        <x:v>5</x:v>
      </x:c>
    </x:row>
    <x:row r="9" ht="15" hidden="0">
      <x:c r="A9" s="2" t="s">
        <x:v>6</x:v>
      </x:c>
    </x:row>
    <x:row r="10" ht="15" hidden="0">
      <x:c r="A10" s="2" t="s">
        <x:v>7</x:v>
      </x:c>
    </x:row>
    <x:row r="11" ht="15" hidden="0">
      <x:c r="A11" s="2" t="s">
        <x:v>8</x:v>
      </x:c>
    </x:row>
    <x:row r="12" ht="15" hidden="0">
      <x:c r="A12" s="2"/>
    </x:row>
    <x:row r="13" ht="15" hidden="0">
      <x:c r="A13" s="3" t="s">
        <x:v>9</x:v>
      </x:c>
    </x:row>
    <x:row r="14" ht="15" hidden="0">
      <x:c r="A14" s="2" t="s">
        <x:v>10</x:v>
      </x:c>
    </x:row>
    <x:row r="15" ht="15" hidden="0">
      <x:c r="A15" s="2" t="s">
        <x:v>11</x:v>
      </x:c>
    </x:row>
    <x:row r="16" ht="15" hidden="0">
      <x:c r="A16" s="2"/>
    </x:row>
    <x:row r="17" ht="15" hidden="0">
      <x:c r="A17" s="3" t="s">
        <x:v>12</x:v>
      </x:c>
    </x:row>
    <x:row r="18" ht="15" hidden="0">
      <x:c r="A18" s="2" t="s">
        <x:v>13</x:v>
      </x:c>
    </x:row>
    <x:row r="19" ht="15" hidden="0">
      <x:c r="A19" s="2" t="s">
        <x:v>14</x:v>
      </x:c>
    </x:row>
    <x:row r="20" ht="15" hidden="0">
      <x:c r="A20" s="2" t="s">
        <x:v>15</x:v>
      </x:c>
    </x:row>
    <x:row r="21" ht="15" hidden="0">
      <x:c r="A21" s="2" t="s">
        <x:v>16</x:v>
      </x:c>
    </x:row>
    <x:row r="22" ht="15" hidden="0">
      <x:c r="A22" s="2" t="s">
        <x:v>17</x:v>
      </x:c>
    </x:row>
    <x:row r="23" ht="15" hidden="0">
      <x:c r="A23" s="2" t="s">
        <x:v>18</x:v>
      </x:c>
    </x:row>
    <x:row r="24" ht="15" hidden="0">
      <x:c r="A24" s="2"/>
    </x:row>
    <x:row r="25" ht="15" hidden="0">
      <x:c r="A25" s="2" t="s">
        <x:v>19</x:v>
      </x:c>
    </x:row>
    <x:row r="26" ht="15" hidden="0">
      <x:c r="A26" s="2" t="s">
        <x:v>20</x:v>
      </x:c>
    </x:row>
    <x:row r="28">
      <x:c r="A28" t="str">
        <x:v>BASELINE CONTROL — SYNTHETIC RECOVERY APPROVED</x:v>
      </x:c>
    </x:row>
    <x:row r="29">
      <x:c r="A29" t="str">
        <x:v>03_SCHEDULE: 428 activity/milestone rows; 03_SCHEDULE_RELATIONSHIPS: 498 dependency records.</x:v>
      </x:c>
    </x:row>
    <x:row r="30">
      <x:c r="A30" t="str">
        <x:v>Schedule CPM complete: 428 activities and milestones; 498 dependency records; all twelve approved project finishes unchanged.</x:v>
      </x:c>
    </x:row>
    <x:row r="31">
      <x:c r="A31" t="str">
        <x:v>Five user-approved synthetic NTP release holds were inserted and retained in the relationship CSV.</x:v>
      </x:c>
    </x:row>
    <x:row r="32">
      <x:c r="A32" t="str">
        <x:v>Critical / near-critical criteria: 0bd / 1–5bd total float under per-project finish anchors. See CPM_SUMMARY and CPM_METHOD.</x:v>
      </x:c>
    </x:row>
    <x:row r="33">
      <x:c r="A33" t="str">
        <x:v>P08-MOUTAGE is independently fixed on 2026-05-22; its zero float is constraint-driven and not evidence of the governing construction path.</x:v>
      </x:c>
    </x:row>
    <x:row r="34">
      <x:c r="A34" t="str">
        <x:v>Project BAC $88.5M, reserve $7.5M, authorized total $96M unchanged.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5"/>
  <x:cols>
    <x:col min="1" max="1" width="10" hidden="0" customWidth="1"/>
    <x:col min="2" max="2" width="42" hidden="0" customWidth="1"/>
    <x:col min="3" max="3" width="22" hidden="0" customWidth="1"/>
    <x:col min="4" max="4" width="20" hidden="0" customWidth="1"/>
    <x:col min="5" max="5" width="14" hidden="0" customWidth="1"/>
    <x:col min="6" max="8" width="12" hidden="0" customWidth="1"/>
    <x:col min="9" max="9" width="10" hidden="0" customWidth="1"/>
    <x:col min="10" max="10" width="26" hidden="0" customWidth="1"/>
  </x:cols>
  <x:sheetData>
    <x:row r="1" ht="17.350000381469727" hidden="0">
      <x:c r="A1" s="4" t="s">
        <x:v>21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15" hidden="0">
      <x:c r="A2" s="5" t="s">
        <x:v>22</x:v>
      </x:c>
      <x:c r="B2" s="5"/>
      <x:c r="C2" s="5"/>
      <x:c r="D2" s="5"/>
      <x:c r="E2" s="5"/>
      <x:c r="F2" s="5"/>
      <x:c r="G2" s="5"/>
      <x:c r="H2" s="5"/>
      <x:c r="I2" s="5"/>
      <x:c r="J2" s="5"/>
    </x:row>
    <x:row r="4" ht="39.54999923706055" hidden="0">
      <x:c r="A4" s="6" t="s">
        <x:v>23</x:v>
      </x:c>
      <x:c r="B4" s="6" t="s">
        <x:v>24</x:v>
      </x:c>
      <x:c r="C4" s="6" t="s">
        <x:v>25</x:v>
      </x:c>
      <x:c r="D4" s="6" t="s">
        <x:v>26</x:v>
      </x:c>
      <x:c r="E4" s="6" t="s">
        <x:v>27</x:v>
      </x:c>
      <x:c r="F4" s="6" t="s">
        <x:v>28</x:v>
      </x:c>
      <x:c r="G4" s="6" t="s">
        <x:v>29</x:v>
      </x:c>
      <x:c r="H4" s="6" t="s">
        <x:v>30</x:v>
      </x:c>
      <x:c r="I4" s="6" t="s">
        <x:v>31</x:v>
      </x:c>
      <x:c r="J4" s="6" t="s">
        <x:v>32</x:v>
      </x:c>
    </x:row>
    <x:row r="5" ht="15" hidden="0">
      <x:c r="A5" s="7" t="s">
        <x:v>33</x:v>
      </x:c>
      <x:c r="B5" s="7" t="s">
        <x:v>34</x:v>
      </x:c>
      <x:c r="C5" s="7" t="s">
        <x:v>35</x:v>
      </x:c>
      <x:c r="D5" s="7" t="s">
        <x:v>36</x:v>
      </x:c>
      <x:c r="E5" s="8" t="n">
        <x:v>7400000</x:v>
      </x:c>
      <x:c r="F5" s="9" t="n">
        <x:f aca="0">E5/$E$17</x:f>
        <x:v>0.08361581920903954</x:v>
      </x:c>
      <x:c r="G5" s="10" t="n">
        <x:v>45659</x:v>
      </x:c>
      <x:c r="H5" s="10" t="n">
        <x:v>46020</x:v>
      </x:c>
      <x:c r="I5" s="11" t="n">
        <x:f aca="0">ROUND((H5-G5)*12/365.25,1)</x:f>
        <x:v>11.9</x:v>
      </x:c>
      <x:c r="J5" s="7" t="s">
        <x:v>37</x:v>
      </x:c>
    </x:row>
    <x:row r="6" ht="15" hidden="0">
      <x:c r="A6" s="7" t="s">
        <x:v>38</x:v>
      </x:c>
      <x:c r="B6" s="7" t="s">
        <x:v>39</x:v>
      </x:c>
      <x:c r="C6" s="7" t="s">
        <x:v>40</x:v>
      </x:c>
      <x:c r="D6" s="7" t="s">
        <x:v>41</x:v>
      </x:c>
      <x:c r="E6" s="8" t="n">
        <x:v>8800000</x:v>
      </x:c>
      <x:c r="F6" s="9" t="n">
        <x:f aca="0">E6/$E$17</x:f>
        <x:v>0.09943502824858758</x:v>
      </x:c>
      <x:c r="G6" s="10" t="n">
        <x:v>45691</x:v>
      </x:c>
      <x:c r="H6" s="10" t="n">
        <x:v>46078</x:v>
      </x:c>
      <x:c r="I6" s="11" t="n">
        <x:f aca="0">ROUND((H6-G6)*12/365.25,1)</x:f>
        <x:v>12.7</x:v>
      </x:c>
      <x:c r="J6" s="7" t="s">
        <x:v>42</x:v>
      </x:c>
    </x:row>
    <x:row r="7" ht="15" hidden="0">
      <x:c r="A7" s="7" t="s">
        <x:v>43</x:v>
      </x:c>
      <x:c r="B7" s="7" t="s">
        <x:v>44</x:v>
      </x:c>
      <x:c r="C7" s="7" t="s">
        <x:v>45</x:v>
      </x:c>
      <x:c r="D7" s="7" t="s">
        <x:v>46</x:v>
      </x:c>
      <x:c r="E7" s="8" t="n">
        <x:v>20300000</x:v>
      </x:c>
      <x:c r="F7" s="9" t="n">
        <x:f aca="0">E7/$E$17</x:f>
        <x:v>0.22937853107344633</x:v>
      </x:c>
      <x:c r="G7" s="10" t="n">
        <x:v>45659</x:v>
      </x:c>
      <x:c r="H7" s="10" t="n">
        <x:v>46414</x:v>
      </x:c>
      <x:c r="I7" s="11" t="n">
        <x:f aca="0">ROUND((H7-G7)*12/365.25,1)</x:f>
        <x:v>24.8</x:v>
      </x:c>
      <x:c r="J7" s="7" t="s">
        <x:v>42</x:v>
      </x:c>
    </x:row>
    <x:row r="8" ht="15" hidden="0">
      <x:c r="A8" s="7" t="s">
        <x:v>47</x:v>
      </x:c>
      <x:c r="B8" s="7" t="s">
        <x:v>48</x:v>
      </x:c>
      <x:c r="C8" s="7" t="s">
        <x:v>49</x:v>
      </x:c>
      <x:c r="D8" s="7" t="s">
        <x:v>50</x:v>
      </x:c>
      <x:c r="E8" s="8" t="n">
        <x:v>5500000</x:v>
      </x:c>
      <x:c r="F8" s="9" t="n">
        <x:f aca="0">E8/$E$17</x:f>
        <x:v>0.062146892655367235</x:v>
      </x:c>
      <x:c r="G8" s="10" t="n">
        <x:v>45810</x:v>
      </x:c>
      <x:c r="H8" s="10" t="n">
        <x:v>46136</x:v>
      </x:c>
      <x:c r="I8" s="11" t="n">
        <x:f aca="0">ROUND((H8-G8)*12/365.25,1)</x:f>
        <x:v>10.7</x:v>
      </x:c>
      <x:c r="J8" s="7" t="s">
        <x:v>42</x:v>
      </x:c>
    </x:row>
    <x:row r="9" ht="15" hidden="0">
      <x:c r="A9" s="7" t="s">
        <x:v>51</x:v>
      </x:c>
      <x:c r="B9" s="7" t="s">
        <x:v>52</x:v>
      </x:c>
      <x:c r="C9" s="7" t="s">
        <x:v>53</x:v>
      </x:c>
      <x:c r="D9" s="7" t="s">
        <x:v>36</x:v>
      </x:c>
      <x:c r="E9" s="8" t="n">
        <x:v>11100000</x:v>
      </x:c>
      <x:c r="F9" s="9" t="n">
        <x:f aca="0">E9/$E$17</x:f>
        <x:v>0.12542372881355932</x:v>
      </x:c>
      <x:c r="G9" s="10" t="n">
        <x:v>45719</x:v>
      </x:c>
      <x:c r="H9" s="10" t="n">
        <x:v>46157</x:v>
      </x:c>
      <x:c r="I9" s="11" t="n">
        <x:f aca="0">ROUND((H9-G9)*12/365.25,1)</x:f>
        <x:v>14.4</x:v>
      </x:c>
      <x:c r="J9" s="7" t="s">
        <x:v>42</x:v>
      </x:c>
    </x:row>
    <x:row r="10" ht="15" hidden="0">
      <x:c r="A10" s="7" t="s">
        <x:v>54</x:v>
      </x:c>
      <x:c r="B10" s="7" t="s">
        <x:v>55</x:v>
      </x:c>
      <x:c r="C10" s="7" t="s">
        <x:v>56</x:v>
      </x:c>
      <x:c r="D10" s="7" t="s">
        <x:v>57</x:v>
      </x:c>
      <x:c r="E10" s="8" t="n">
        <x:v>6900000</x:v>
      </x:c>
      <x:c r="F10" s="9" t="n">
        <x:f aca="0">E10/$E$17</x:f>
        <x:v>0.07796610169491526</x:v>
      </x:c>
      <x:c r="G10" s="10" t="n">
        <x:v>45870</x:v>
      </x:c>
      <x:c r="H10" s="10" t="n">
        <x:v>46380</x:v>
      </x:c>
      <x:c r="I10" s="11" t="n">
        <x:f aca="0">ROUND((H10-G10)*12/365.25,1)</x:f>
        <x:v>16.8</x:v>
      </x:c>
      <x:c r="J10" s="7" t="s">
        <x:v>42</x:v>
      </x:c>
    </x:row>
    <x:row r="11" ht="15" hidden="0">
      <x:c r="A11" s="7" t="s">
        <x:v>58</x:v>
      </x:c>
      <x:c r="B11" s="7" t="s">
        <x:v>59</x:v>
      </x:c>
      <x:c r="C11" s="7" t="s">
        <x:v>35</x:v>
      </x:c>
      <x:c r="D11" s="7" t="s">
        <x:v>60</x:v>
      </x:c>
      <x:c r="E11" s="8" t="n">
        <x:v>4100000</x:v>
      </x:c>
      <x:c r="F11" s="9" t="n">
        <x:f aca="0">E11/$E$17</x:f>
        <x:v>0.04632768361581921</x:v>
      </x:c>
      <x:c r="G11" s="10" t="n">
        <x:v>45931</x:v>
      </x:c>
      <x:c r="H11" s="10" t="n">
        <x:v>46266</x:v>
      </x:c>
      <x:c r="I11" s="11" t="n">
        <x:f aca="0">ROUND((H11-G11)*12/365.25,1)</x:f>
        <x:v>11</x:v>
      </x:c>
      <x:c r="J11" s="7" t="s">
        <x:v>42</x:v>
      </x:c>
    </x:row>
    <x:row r="12" ht="15" hidden="0">
      <x:c r="A12" s="7" t="s">
        <x:v>61</x:v>
      </x:c>
      <x:c r="B12" s="7" t="s">
        <x:v>62</x:v>
      </x:c>
      <x:c r="C12" s="7" t="s">
        <x:v>63</x:v>
      </x:c>
      <x:c r="D12" s="7" t="s">
        <x:v>60</x:v>
      </x:c>
      <x:c r="E12" s="8" t="n">
        <x:v>4600000</x:v>
      </x:c>
      <x:c r="F12" s="9" t="n">
        <x:f aca="0">E12/$E$17</x:f>
        <x:v>0.0519774011299435</x:v>
      </x:c>
      <x:c r="G12" s="10" t="n">
        <x:v>45992</x:v>
      </x:c>
      <x:c r="H12" s="10" t="n">
        <x:v>46395</x:v>
      </x:c>
      <x:c r="I12" s="11" t="n">
        <x:f aca="0">ROUND((H12-G12)*12/365.25,1)</x:f>
        <x:v>13.2</x:v>
      </x:c>
      <x:c r="J12" s="7" t="s">
        <x:v>64</x:v>
      </x:c>
    </x:row>
    <x:row r="13" ht="15" hidden="0">
      <x:c r="A13" s="7" t="s">
        <x:v>65</x:v>
      </x:c>
      <x:c r="B13" s="7" t="s">
        <x:v>66</x:v>
      </x:c>
      <x:c r="C13" s="7" t="s">
        <x:v>35</x:v>
      </x:c>
      <x:c r="D13" s="7" t="s">
        <x:v>41</x:v>
      </x:c>
      <x:c r="E13" s="8" t="n">
        <x:v>7800000</x:v>
      </x:c>
      <x:c r="F13" s="9" t="n">
        <x:f aca="0">E13/$E$17</x:f>
        <x:v>0.08813559322033898</x:v>
      </x:c>
      <x:c r="G13" s="10" t="n">
        <x:v>46055</x:v>
      </x:c>
      <x:c r="H13" s="10" t="n">
        <x:v>46449</x:v>
      </x:c>
      <x:c r="I13" s="11" t="n">
        <x:f aca="0">ROUND((H13-G13)*12/365.25,1)</x:f>
        <x:v>12.9</x:v>
      </x:c>
      <x:c r="J13" s="7" t="s">
        <x:v>67</x:v>
      </x:c>
    </x:row>
    <x:row r="14" ht="15" hidden="0">
      <x:c r="A14" s="7" t="s">
        <x:v>68</x:v>
      </x:c>
      <x:c r="B14" s="7" t="s">
        <x:v>69</x:v>
      </x:c>
      <x:c r="C14" s="7" t="s">
        <x:v>70</x:v>
      </x:c>
      <x:c r="D14" s="7" t="s">
        <x:v>57</x:v>
      </x:c>
      <x:c r="E14" s="8" t="n">
        <x:v>3700000</x:v>
      </x:c>
      <x:c r="F14" s="9" t="n">
        <x:f aca="0">E14/$E$17</x:f>
        <x:v>0.04180790960451977</x:v>
      </x:c>
      <x:c r="G14" s="10" t="n">
        <x:v>46113</x:v>
      </x:c>
      <x:c r="H14" s="10" t="n">
        <x:v>46605</x:v>
      </x:c>
      <x:c r="I14" s="11" t="n">
        <x:f aca="0">ROUND((H14-G14)*12/365.25,1)</x:f>
        <x:v>16.2</x:v>
      </x:c>
      <x:c r="J14" s="7" t="s">
        <x:v>71</x:v>
      </x:c>
    </x:row>
    <x:row r="15" ht="15" hidden="0">
      <x:c r="A15" s="7" t="s">
        <x:v>72</x:v>
      </x:c>
      <x:c r="B15" s="7" t="s">
        <x:v>73</x:v>
      </x:c>
      <x:c r="C15" s="7" t="s">
        <x:v>35</x:v>
      </x:c>
      <x:c r="D15" s="7" t="s">
        <x:v>50</x:v>
      </x:c>
      <x:c r="E15" s="8" t="n">
        <x:v>3200000</x:v>
      </x:c>
      <x:c r="F15" s="9" t="n">
        <x:f aca="0">E15/$E$17</x:f>
        <x:v>0.03615819209039548</x:v>
      </x:c>
      <x:c r="G15" s="10" t="n">
        <x:v>45748</x:v>
      </x:c>
      <x:c r="H15" s="10" t="n">
        <x:v>46090</x:v>
      </x:c>
      <x:c r="I15" s="11" t="n">
        <x:f aca="0">ROUND((H15-G15)*12/365.25,1)</x:f>
        <x:v>11.2</x:v>
      </x:c>
      <x:c r="J15" s="7" t="s">
        <x:v>42</x:v>
      </x:c>
    </x:row>
    <x:row r="16" ht="15" hidden="0">
      <x:c r="A16" s="7" t="s">
        <x:v>74</x:v>
      </x:c>
      <x:c r="B16" s="7" t="s">
        <x:v>75</x:v>
      </x:c>
      <x:c r="C16" s="7" t="s">
        <x:v>76</x:v>
      </x:c>
      <x:c r="D16" s="7" t="s">
        <x:v>77</x:v>
      </x:c>
      <x:c r="E16" s="8" t="n">
        <x:v>5100000</x:v>
      </x:c>
      <x:c r="F16" s="9" t="n">
        <x:f aca="0">E16/$E$17</x:f>
        <x:v>0.0576271186440678</x:v>
      </x:c>
      <x:c r="G16" s="10" t="n">
        <x:v>45659</x:v>
      </x:c>
      <x:c r="H16" s="10" t="n">
        <x:v>46561</x:v>
      </x:c>
      <x:c r="I16" s="11" t="n">
        <x:f aca="0">ROUND((H16-G16)*12/365.25,1)</x:f>
        <x:v>29.6</x:v>
      </x:c>
      <x:c r="J16" s="7" t="s">
        <x:v>78</x:v>
      </x:c>
    </x:row>
    <x:row r="17" ht="15" hidden="0">
      <x:c r="A17" s="11"/>
      <x:c r="B17" s="12" t="s">
        <x:v>79</x:v>
      </x:c>
      <x:c r="C17" s="11"/>
      <x:c r="D17" s="11"/>
      <x:c r="E17" s="13" t="n">
        <x:f aca="0">SUM(E5:E16)</x:f>
        <x:v>88500000</x:v>
      </x:c>
      <x:c r="F17" s="11"/>
      <x:c r="G17" s="11"/>
      <x:c r="H17" s="11"/>
      <x:c r="I17" s="11"/>
      <x:c r="J17" s="11"/>
    </x:row>
    <x:row r="18" ht="15" hidden="0">
      <x:c r="B18" s="14" t="s">
        <x:v>80</x:v>
      </x:c>
      <x:c r="E18" s="15" t="n">
        <x:v>7500000</x:v>
      </x:c>
    </x:row>
    <x:row r="19" ht="15" hidden="0">
      <x:c r="B19" s="16" t="s">
        <x:v>81</x:v>
      </x:c>
      <x:c r="E19" s="17" t="n">
        <x:f aca="0">E17+E18</x:f>
        <x:v>96000000</x:v>
      </x:c>
    </x:row>
    <x:row r="21" ht="15" hidden="0">
      <x:c r="A21" s="18" t="s">
        <x:v>82</x:v>
      </x:c>
      <x:c r="B21" s="19" t="str">
        <x:f aca="0">IF(E17=88500000,"OK - Project BAC total = $88.5M","ERROR - project BAC total is not $88.5M")</x:f>
        <x:v>OK - Project BAC total = $88.5M</x:v>
      </x:c>
    </x:row>
    <x:row r="22" ht="15" hidden="0">
      <x:c r="B22" s="19" t="str">
        <x:f aca="0">IF(E19=96000000,"OK - Total program authorization = $96.0M","ERROR - total authorization is not $96.0M")</x:f>
        <x:v>OK - Total program authorization = $96.0M</x:v>
      </x:c>
    </x:row>
    <x:row r="24" ht="30" hidden="0" customHeight="1">
      <x:c r="A24" s="18" t="s">
        <x:v>83</x:v>
      </x:c>
      <x:c r="B24" s="5" t="s">
        <x:v>84</x:v>
      </x:c>
      <x:c r="C24" s="5"/>
      <x:c r="D24" s="5"/>
      <x:c r="E24" s="5"/>
      <x:c r="F24" s="5"/>
      <x:c r="G24" s="5"/>
      <x:c r="H24" s="5"/>
      <x:c r="I24" s="5"/>
      <x:c r="J24" s="5"/>
    </x:row>
  </x:sheetData>
  <x:mergeCells>
    <x:mergeCell ref="A1:J1"/>
    <x:mergeCell ref="A2:J2"/>
    <x:mergeCell ref="B24:J24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5"/>
  <x:cols>
    <x:col min="1" max="1" width="12" hidden="0" customWidth="1"/>
    <x:col min="2" max="2" width="6" hidden="0" customWidth="1"/>
    <x:col min="3" max="3" width="8" hidden="0" customWidth="1"/>
    <x:col min="4" max="4" width="30" hidden="0" customWidth="1"/>
    <x:col min="5" max="5" width="12" hidden="0" customWidth="1"/>
    <x:col min="6" max="6" width="24" hidden="0" customWidth="1"/>
    <x:col min="7" max="7" width="12" hidden="0" customWidth="1"/>
    <x:col min="8" max="8" width="32" hidden="0" customWidth="1"/>
    <x:col min="9" max="9" width="20" hidden="0" customWidth="1"/>
    <x:col min="10" max="10" width="26" hidden="0" customWidth="1"/>
    <x:col min="11" max="11" width="55" hidden="0" customWidth="1"/>
  </x:cols>
  <x:sheetData>
    <x:row r="1" ht="17.350000381469727" hidden="0">
      <x:c r="A1" s="4" t="s">
        <x:v>85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2" ht="15" hidden="0">
      <x:c r="A2" s="5" t="s">
        <x:v>86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</x:row>
    <x:row r="4" ht="39.54999923706055" hidden="0">
      <x:c r="A4" s="6" t="s">
        <x:v>87</x:v>
      </x:c>
      <x:c r="B4" s="6" t="s">
        <x:v>88</x:v>
      </x:c>
      <x:c r="C4" s="6" t="s">
        <x:v>89</x:v>
      </x:c>
      <x:c r="D4" s="6" t="s">
        <x:v>90</x:v>
      </x:c>
      <x:c r="E4" s="6" t="s">
        <x:v>91</x:v>
      </x:c>
      <x:c r="F4" s="6" t="s">
        <x:v>92</x:v>
      </x:c>
      <x:c r="G4" s="6" t="s">
        <x:v>93</x:v>
      </x:c>
      <x:c r="H4" s="6" t="s">
        <x:v>94</x:v>
      </x:c>
      <x:c r="I4" s="6" t="s">
        <x:v>95</x:v>
      </x:c>
      <x:c r="J4" s="6" t="s">
        <x:v>96</x:v>
      </x:c>
      <x:c r="K4" s="6" t="s">
        <x:v>97</x:v>
      </x:c>
    </x:row>
    <x:row r="5" ht="35.04999923706055" hidden="0">
      <x:c r="A5" s="20" t="s">
        <x:v>98</x:v>
      </x:c>
      <x:c r="B5" s="20" t="n">
        <x:v>3</x:v>
      </x:c>
      <x:c r="C5" s="20" t="s">
        <x:v>33</x:v>
      </x:c>
      <x:c r="D5" s="20" t="s">
        <x:v>34</x:v>
      </x:c>
      <x:c r="E5" s="20" t="s">
        <x:v>99</x:v>
      </x:c>
      <x:c r="F5" s="20" t="s">
        <x:v>100</x:v>
      </x:c>
      <x:c r="G5" s="20"/>
      <x:c r="H5" s="20"/>
      <x:c r="I5" s="20" t="s">
        <x:v>100</x:v>
      </x:c>
      <x:c r="J5" s="20" t="s">
        <x:v>101</x:v>
      </x:c>
      <x:c r="K5" s="20" t="s">
        <x:v>102</x:v>
      </x:c>
    </x:row>
    <x:row r="6" ht="23.850000381469727" hidden="0">
      <x:c r="A6" s="20" t="s">
        <x:v>103</x:v>
      </x:c>
      <x:c r="B6" s="20" t="n">
        <x:v>4</x:v>
      </x:c>
      <x:c r="C6" s="20" t="s">
        <x:v>33</x:v>
      </x:c>
      <x:c r="D6" s="20" t="s">
        <x:v>34</x:v>
      </x:c>
      <x:c r="E6" s="20" t="s">
        <x:v>99</x:v>
      </x:c>
      <x:c r="F6" s="20" t="s">
        <x:v>100</x:v>
      </x:c>
      <x:c r="G6" s="20" t="s">
        <x:v>104</x:v>
      </x:c>
      <x:c r="H6" s="20" t="s">
        <x:v>105</x:v>
      </x:c>
      <x:c r="I6" s="20" t="s">
        <x:v>100</x:v>
      </x:c>
      <x:c r="J6" s="20" t="s">
        <x:v>101</x:v>
      </x:c>
      <x:c r="K6" s="20" t="s">
        <x:v>106</x:v>
      </x:c>
    </x:row>
    <x:row r="7" ht="23.850000381469727" hidden="0">
      <x:c r="A7" s="20" t="s">
        <x:v>107</x:v>
      </x:c>
      <x:c r="B7" s="20" t="n">
        <x:v>4</x:v>
      </x:c>
      <x:c r="C7" s="20" t="s">
        <x:v>33</x:v>
      </x:c>
      <x:c r="D7" s="20" t="s">
        <x:v>34</x:v>
      </x:c>
      <x:c r="E7" s="20" t="s">
        <x:v>99</x:v>
      </x:c>
      <x:c r="F7" s="20" t="s">
        <x:v>100</x:v>
      </x:c>
      <x:c r="G7" s="20" t="s">
        <x:v>108</x:v>
      </x:c>
      <x:c r="H7" s="20" t="s">
        <x:v>109</x:v>
      </x:c>
      <x:c r="I7" s="20" t="s">
        <x:v>100</x:v>
      </x:c>
      <x:c r="J7" s="20" t="s">
        <x:v>101</x:v>
      </x:c>
      <x:c r="K7" s="20" t="s">
        <x:v>110</x:v>
      </x:c>
    </x:row>
    <x:row r="8" ht="35.04999923706055" hidden="0">
      <x:c r="A8" s="20" t="s">
        <x:v>111</x:v>
      </x:c>
      <x:c r="B8" s="20" t="n">
        <x:v>3</x:v>
      </x:c>
      <x:c r="C8" s="20" t="s">
        <x:v>33</x:v>
      </x:c>
      <x:c r="D8" s="20" t="s">
        <x:v>34</x:v>
      </x:c>
      <x:c r="E8" s="20" t="s">
        <x:v>112</x:v>
      </x:c>
      <x:c r="F8" s="20" t="s">
        <x:v>113</x:v>
      </x:c>
      <x:c r="G8" s="20"/>
      <x:c r="H8" s="20"/>
      <x:c r="I8" s="20" t="s">
        <x:v>113</x:v>
      </x:c>
      <x:c r="J8" s="20" t="s">
        <x:v>114</x:v>
      </x:c>
      <x:c r="K8" s="20" t="s">
        <x:v>115</x:v>
      </x:c>
    </x:row>
    <x:row r="9" ht="23.850000381469727" hidden="0">
      <x:c r="A9" s="20" t="s">
        <x:v>116</x:v>
      </x:c>
      <x:c r="B9" s="20" t="n">
        <x:v>4</x:v>
      </x:c>
      <x:c r="C9" s="20" t="s">
        <x:v>33</x:v>
      </x:c>
      <x:c r="D9" s="20" t="s">
        <x:v>34</x:v>
      </x:c>
      <x:c r="E9" s="20" t="s">
        <x:v>112</x:v>
      </x:c>
      <x:c r="F9" s="20" t="s">
        <x:v>113</x:v>
      </x:c>
      <x:c r="G9" s="20" t="s">
        <x:v>117</x:v>
      </x:c>
      <x:c r="H9" s="20" t="s">
        <x:v>118</x:v>
      </x:c>
      <x:c r="I9" s="20" t="s">
        <x:v>113</x:v>
      </x:c>
      <x:c r="J9" s="20" t="s">
        <x:v>114</x:v>
      </x:c>
      <x:c r="K9" s="20" t="s">
        <x:v>119</x:v>
      </x:c>
    </x:row>
    <x:row r="10" ht="23.850000381469727" hidden="0">
      <x:c r="A10" s="20" t="s">
        <x:v>120</x:v>
      </x:c>
      <x:c r="B10" s="20" t="n">
        <x:v>4</x:v>
      </x:c>
      <x:c r="C10" s="20" t="s">
        <x:v>33</x:v>
      </x:c>
      <x:c r="D10" s="20" t="s">
        <x:v>34</x:v>
      </x:c>
      <x:c r="E10" s="20" t="s">
        <x:v>112</x:v>
      </x:c>
      <x:c r="F10" s="20" t="s">
        <x:v>113</x:v>
      </x:c>
      <x:c r="G10" s="20" t="s">
        <x:v>121</x:v>
      </x:c>
      <x:c r="H10" s="20" t="s">
        <x:v>122</x:v>
      </x:c>
      <x:c r="I10" s="20" t="s">
        <x:v>113</x:v>
      </x:c>
      <x:c r="J10" s="20" t="s">
        <x:v>114</x:v>
      </x:c>
      <x:c r="K10" s="20" t="s">
        <x:v>123</x:v>
      </x:c>
    </x:row>
    <x:row r="11" ht="35.04999923706055" hidden="0">
      <x:c r="A11" s="20" t="s">
        <x:v>124</x:v>
      </x:c>
      <x:c r="B11" s="20" t="n">
        <x:v>3</x:v>
      </x:c>
      <x:c r="C11" s="20" t="s">
        <x:v>33</x:v>
      </x:c>
      <x:c r="D11" s="20" t="s">
        <x:v>34</x:v>
      </x:c>
      <x:c r="E11" s="20" t="s">
        <x:v>125</x:v>
      </x:c>
      <x:c r="F11" s="20" t="s">
        <x:v>126</x:v>
      </x:c>
      <x:c r="G11" s="20"/>
      <x:c r="H11" s="20"/>
      <x:c r="I11" s="20" t="s">
        <x:v>126</x:v>
      </x:c>
      <x:c r="J11" s="20" t="s">
        <x:v>127</x:v>
      </x:c>
      <x:c r="K11" s="20" t="s">
        <x:v>128</x:v>
      </x:c>
    </x:row>
    <x:row r="12" ht="23.850000381469727" hidden="0">
      <x:c r="A12" s="20" t="s">
        <x:v>129</x:v>
      </x:c>
      <x:c r="B12" s="20" t="n">
        <x:v>4</x:v>
      </x:c>
      <x:c r="C12" s="20" t="s">
        <x:v>33</x:v>
      </x:c>
      <x:c r="D12" s="20" t="s">
        <x:v>34</x:v>
      </x:c>
      <x:c r="E12" s="20" t="s">
        <x:v>125</x:v>
      </x:c>
      <x:c r="F12" s="20" t="s">
        <x:v>126</x:v>
      </x:c>
      <x:c r="G12" s="20" t="s">
        <x:v>130</x:v>
      </x:c>
      <x:c r="H12" s="20" t="s">
        <x:v>131</x:v>
      </x:c>
      <x:c r="I12" s="20" t="s">
        <x:v>126</x:v>
      </x:c>
      <x:c r="J12" s="20" t="s">
        <x:v>127</x:v>
      </x:c>
      <x:c r="K12" s="20" t="s">
        <x:v>132</x:v>
      </x:c>
    </x:row>
    <x:row r="13" ht="23.850000381469727" hidden="0">
      <x:c r="A13" s="20" t="s">
        <x:v>133</x:v>
      </x:c>
      <x:c r="B13" s="20" t="n">
        <x:v>4</x:v>
      </x:c>
      <x:c r="C13" s="20" t="s">
        <x:v>33</x:v>
      </x:c>
      <x:c r="D13" s="20" t="s">
        <x:v>34</x:v>
      </x:c>
      <x:c r="E13" s="20" t="s">
        <x:v>125</x:v>
      </x:c>
      <x:c r="F13" s="20" t="s">
        <x:v>126</x:v>
      </x:c>
      <x:c r="G13" s="20" t="s">
        <x:v>134</x:v>
      </x:c>
      <x:c r="H13" s="20" t="s">
        <x:v>135</x:v>
      </x:c>
      <x:c r="I13" s="20" t="s">
        <x:v>126</x:v>
      </x:c>
      <x:c r="J13" s="20" t="s">
        <x:v>127</x:v>
      </x:c>
      <x:c r="K13" s="20" t="s">
        <x:v>136</x:v>
      </x:c>
    </x:row>
    <x:row r="14" ht="35.04999923706055" hidden="0">
      <x:c r="A14" s="20" t="s">
        <x:v>137</x:v>
      </x:c>
      <x:c r="B14" s="20" t="n">
        <x:v>3</x:v>
      </x:c>
      <x:c r="C14" s="20" t="s">
        <x:v>33</x:v>
      </x:c>
      <x:c r="D14" s="20" t="s">
        <x:v>34</x:v>
      </x:c>
      <x:c r="E14" s="20" t="s">
        <x:v>138</x:v>
      </x:c>
      <x:c r="F14" s="20" t="s">
        <x:v>139</x:v>
      </x:c>
      <x:c r="G14" s="20"/>
      <x:c r="H14" s="20"/>
      <x:c r="I14" s="20" t="s">
        <x:v>139</x:v>
      </x:c>
      <x:c r="J14" s="20" t="s">
        <x:v>140</x:v>
      </x:c>
      <x:c r="K14" s="20" t="s">
        <x:v>141</x:v>
      </x:c>
    </x:row>
    <x:row r="15" ht="23.850000381469727" hidden="0">
      <x:c r="A15" s="20" t="s">
        <x:v>142</x:v>
      </x:c>
      <x:c r="B15" s="20" t="n">
        <x:v>4</x:v>
      </x:c>
      <x:c r="C15" s="20" t="s">
        <x:v>33</x:v>
      </x:c>
      <x:c r="D15" s="20" t="s">
        <x:v>34</x:v>
      </x:c>
      <x:c r="E15" s="20" t="s">
        <x:v>138</x:v>
      </x:c>
      <x:c r="F15" s="20" t="s">
        <x:v>139</x:v>
      </x:c>
      <x:c r="G15" s="20" t="s">
        <x:v>143</x:v>
      </x:c>
      <x:c r="H15" s="20" t="s">
        <x:v>144</x:v>
      </x:c>
      <x:c r="I15" s="20" t="s">
        <x:v>139</x:v>
      </x:c>
      <x:c r="J15" s="20" t="s">
        <x:v>140</x:v>
      </x:c>
      <x:c r="K15" s="20" t="s">
        <x:v>145</x:v>
      </x:c>
    </x:row>
    <x:row r="16" ht="23.850000381469727" hidden="0">
      <x:c r="A16" s="20" t="s">
        <x:v>146</x:v>
      </x:c>
      <x:c r="B16" s="20" t="n">
        <x:v>4</x:v>
      </x:c>
      <x:c r="C16" s="20" t="s">
        <x:v>33</x:v>
      </x:c>
      <x:c r="D16" s="20" t="s">
        <x:v>34</x:v>
      </x:c>
      <x:c r="E16" s="20" t="s">
        <x:v>138</x:v>
      </x:c>
      <x:c r="F16" s="20" t="s">
        <x:v>139</x:v>
      </x:c>
      <x:c r="G16" s="20" t="s">
        <x:v>147</x:v>
      </x:c>
      <x:c r="H16" s="20" t="s">
        <x:v>148</x:v>
      </x:c>
      <x:c r="I16" s="20" t="s">
        <x:v>139</x:v>
      </x:c>
      <x:c r="J16" s="20" t="s">
        <x:v>140</x:v>
      </x:c>
      <x:c r="K16" s="20" t="s">
        <x:v>149</x:v>
      </x:c>
    </x:row>
    <x:row r="17" ht="23.850000381469727" hidden="0">
      <x:c r="A17" s="20" t="s">
        <x:v>150</x:v>
      </x:c>
      <x:c r="B17" s="20" t="n">
        <x:v>4</x:v>
      </x:c>
      <x:c r="C17" s="20" t="s">
        <x:v>33</x:v>
      </x:c>
      <x:c r="D17" s="20" t="s">
        <x:v>34</x:v>
      </x:c>
      <x:c r="E17" s="20" t="s">
        <x:v>138</x:v>
      </x:c>
      <x:c r="F17" s="20" t="s">
        <x:v>139</x:v>
      </x:c>
      <x:c r="G17" s="20" t="s">
        <x:v>151</x:v>
      </x:c>
      <x:c r="H17" s="20" t="s">
        <x:v>152</x:v>
      </x:c>
      <x:c r="I17" s="20" t="s">
        <x:v>139</x:v>
      </x:c>
      <x:c r="J17" s="20" t="s">
        <x:v>140</x:v>
      </x:c>
      <x:c r="K17" s="20" t="s">
        <x:v>153</x:v>
      </x:c>
    </x:row>
    <x:row r="18" ht="35.04999923706055" hidden="0">
      <x:c r="A18" s="20" t="s">
        <x:v>154</x:v>
      </x:c>
      <x:c r="B18" s="20" t="n">
        <x:v>3</x:v>
      </x:c>
      <x:c r="C18" s="20" t="s">
        <x:v>33</x:v>
      </x:c>
      <x:c r="D18" s="20" t="s">
        <x:v>34</x:v>
      </x:c>
      <x:c r="E18" s="20" t="s">
        <x:v>155</x:v>
      </x:c>
      <x:c r="F18" s="20" t="s">
        <x:v>156</x:v>
      </x:c>
      <x:c r="G18" s="20"/>
      <x:c r="H18" s="20"/>
      <x:c r="I18" s="20" t="s">
        <x:v>156</x:v>
      </x:c>
      <x:c r="J18" s="20" t="s">
        <x:v>157</x:v>
      </x:c>
      <x:c r="K18" s="20" t="s">
        <x:v>158</x:v>
      </x:c>
    </x:row>
    <x:row r="19" ht="23.850000381469727" hidden="0">
      <x:c r="A19" s="20" t="s">
        <x:v>159</x:v>
      </x:c>
      <x:c r="B19" s="20" t="n">
        <x:v>4</x:v>
      </x:c>
      <x:c r="C19" s="20" t="s">
        <x:v>33</x:v>
      </x:c>
      <x:c r="D19" s="20" t="s">
        <x:v>34</x:v>
      </x:c>
      <x:c r="E19" s="20" t="s">
        <x:v>155</x:v>
      </x:c>
      <x:c r="F19" s="20" t="s">
        <x:v>156</x:v>
      </x:c>
      <x:c r="G19" s="20" t="s">
        <x:v>160</x:v>
      </x:c>
      <x:c r="H19" s="20" t="s">
        <x:v>161</x:v>
      </x:c>
      <x:c r="I19" s="20" t="s">
        <x:v>156</x:v>
      </x:c>
      <x:c r="J19" s="20" t="s">
        <x:v>157</x:v>
      </x:c>
      <x:c r="K19" s="20" t="s">
        <x:v>162</x:v>
      </x:c>
    </x:row>
    <x:row r="20" ht="35.04999923706055" hidden="0">
      <x:c r="A20" s="20" t="s">
        <x:v>163</x:v>
      </x:c>
      <x:c r="B20" s="20" t="n">
        <x:v>3</x:v>
      </x:c>
      <x:c r="C20" s="20" t="s">
        <x:v>33</x:v>
      </x:c>
      <x:c r="D20" s="20" t="s">
        <x:v>34</x:v>
      </x:c>
      <x:c r="E20" s="20" t="s">
        <x:v>164</x:v>
      </x:c>
      <x:c r="F20" s="20" t="s">
        <x:v>165</x:v>
      </x:c>
      <x:c r="G20" s="20"/>
      <x:c r="H20" s="20"/>
      <x:c r="I20" s="20" t="s">
        <x:v>165</x:v>
      </x:c>
      <x:c r="J20" s="20" t="s">
        <x:v>166</x:v>
      </x:c>
      <x:c r="K20" s="20" t="s">
        <x:v>167</x:v>
      </x:c>
    </x:row>
    <x:row r="21" ht="23.850000381469727" hidden="0">
      <x:c r="A21" s="20" t="s">
        <x:v>168</x:v>
      </x:c>
      <x:c r="B21" s="20" t="n">
        <x:v>4</x:v>
      </x:c>
      <x:c r="C21" s="20" t="s">
        <x:v>33</x:v>
      </x:c>
      <x:c r="D21" s="20" t="s">
        <x:v>34</x:v>
      </x:c>
      <x:c r="E21" s="20" t="s">
        <x:v>164</x:v>
      </x:c>
      <x:c r="F21" s="20" t="s">
        <x:v>165</x:v>
      </x:c>
      <x:c r="G21" s="20" t="s">
        <x:v>169</x:v>
      </x:c>
      <x:c r="H21" s="20" t="s">
        <x:v>170</x:v>
      </x:c>
      <x:c r="I21" s="20" t="s">
        <x:v>165</x:v>
      </x:c>
      <x:c r="J21" s="20" t="s">
        <x:v>166</x:v>
      </x:c>
      <x:c r="K21" s="20" t="s">
        <x:v>171</x:v>
      </x:c>
    </x:row>
    <x:row r="22" ht="23.850000381469727" hidden="0">
      <x:c r="A22" s="20" t="s">
        <x:v>172</x:v>
      </x:c>
      <x:c r="B22" s="20" t="n">
        <x:v>4</x:v>
      </x:c>
      <x:c r="C22" s="20" t="s">
        <x:v>33</x:v>
      </x:c>
      <x:c r="D22" s="20" t="s">
        <x:v>34</x:v>
      </x:c>
      <x:c r="E22" s="20" t="s">
        <x:v>164</x:v>
      </x:c>
      <x:c r="F22" s="20" t="s">
        <x:v>165</x:v>
      </x:c>
      <x:c r="G22" s="20" t="s">
        <x:v>173</x:v>
      </x:c>
      <x:c r="H22" s="20" t="s">
        <x:v>174</x:v>
      </x:c>
      <x:c r="I22" s="20" t="s">
        <x:v>165</x:v>
      </x:c>
      <x:c r="J22" s="20" t="s">
        <x:v>166</x:v>
      </x:c>
      <x:c r="K22" s="20" t="s">
        <x:v>175</x:v>
      </x:c>
    </x:row>
    <x:row r="23" ht="35.04999923706055" hidden="0">
      <x:c r="A23" s="20" t="s">
        <x:v>176</x:v>
      </x:c>
      <x:c r="B23" s="20" t="n">
        <x:v>3</x:v>
      </x:c>
      <x:c r="C23" s="20" t="s">
        <x:v>38</x:v>
      </x:c>
      <x:c r="D23" s="20" t="s">
        <x:v>39</x:v>
      </x:c>
      <x:c r="E23" s="20" t="s">
        <x:v>177</x:v>
      </x:c>
      <x:c r="F23" s="20" t="s">
        <x:v>100</x:v>
      </x:c>
      <x:c r="G23" s="20"/>
      <x:c r="H23" s="20"/>
      <x:c r="I23" s="20" t="s">
        <x:v>100</x:v>
      </x:c>
      <x:c r="J23" s="20" t="s">
        <x:v>101</x:v>
      </x:c>
      <x:c r="K23" s="20" t="s">
        <x:v>178</x:v>
      </x:c>
    </x:row>
    <x:row r="24" ht="23.850000381469727" hidden="0">
      <x:c r="A24" s="20" t="s">
        <x:v>179</x:v>
      </x:c>
      <x:c r="B24" s="20" t="n">
        <x:v>4</x:v>
      </x:c>
      <x:c r="C24" s="20" t="s">
        <x:v>38</x:v>
      </x:c>
      <x:c r="D24" s="20" t="s">
        <x:v>39</x:v>
      </x:c>
      <x:c r="E24" s="20" t="s">
        <x:v>177</x:v>
      </x:c>
      <x:c r="F24" s="20" t="s">
        <x:v>100</x:v>
      </x:c>
      <x:c r="G24" s="20" t="s">
        <x:v>180</x:v>
      </x:c>
      <x:c r="H24" s="20" t="s">
        <x:v>105</x:v>
      </x:c>
      <x:c r="I24" s="20" t="s">
        <x:v>100</x:v>
      </x:c>
      <x:c r="J24" s="20" t="s">
        <x:v>101</x:v>
      </x:c>
      <x:c r="K24" s="20" t="s">
        <x:v>181</x:v>
      </x:c>
    </x:row>
    <x:row r="25" ht="23.850000381469727" hidden="0">
      <x:c r="A25" s="20" t="s">
        <x:v>182</x:v>
      </x:c>
      <x:c r="B25" s="20" t="n">
        <x:v>4</x:v>
      </x:c>
      <x:c r="C25" s="20" t="s">
        <x:v>38</x:v>
      </x:c>
      <x:c r="D25" s="20" t="s">
        <x:v>39</x:v>
      </x:c>
      <x:c r="E25" s="20" t="s">
        <x:v>177</x:v>
      </x:c>
      <x:c r="F25" s="20" t="s">
        <x:v>100</x:v>
      </x:c>
      <x:c r="G25" s="20" t="s">
        <x:v>183</x:v>
      </x:c>
      <x:c r="H25" s="20" t="s">
        <x:v>109</x:v>
      </x:c>
      <x:c r="I25" s="20" t="s">
        <x:v>100</x:v>
      </x:c>
      <x:c r="J25" s="20" t="s">
        <x:v>101</x:v>
      </x:c>
      <x:c r="K25" s="20" t="s">
        <x:v>184</x:v>
      </x:c>
    </x:row>
    <x:row r="26" ht="35.04999923706055" hidden="0">
      <x:c r="A26" s="20" t="s">
        <x:v>185</x:v>
      </x:c>
      <x:c r="B26" s="20" t="n">
        <x:v>3</x:v>
      </x:c>
      <x:c r="C26" s="20" t="s">
        <x:v>38</x:v>
      </x:c>
      <x:c r="D26" s="20" t="s">
        <x:v>39</x:v>
      </x:c>
      <x:c r="E26" s="20" t="s">
        <x:v>186</x:v>
      </x:c>
      <x:c r="F26" s="20" t="s">
        <x:v>113</x:v>
      </x:c>
      <x:c r="G26" s="20"/>
      <x:c r="H26" s="20"/>
      <x:c r="I26" s="20" t="s">
        <x:v>113</x:v>
      </x:c>
      <x:c r="J26" s="20" t="s">
        <x:v>114</x:v>
      </x:c>
      <x:c r="K26" s="20" t="s">
        <x:v>187</x:v>
      </x:c>
    </x:row>
    <x:row r="27" ht="23.850000381469727" hidden="0">
      <x:c r="A27" s="20" t="s">
        <x:v>188</x:v>
      </x:c>
      <x:c r="B27" s="20" t="n">
        <x:v>4</x:v>
      </x:c>
      <x:c r="C27" s="20" t="s">
        <x:v>38</x:v>
      </x:c>
      <x:c r="D27" s="20" t="s">
        <x:v>39</x:v>
      </x:c>
      <x:c r="E27" s="20" t="s">
        <x:v>186</x:v>
      </x:c>
      <x:c r="F27" s="20" t="s">
        <x:v>113</x:v>
      </x:c>
      <x:c r="G27" s="20" t="s">
        <x:v>189</x:v>
      </x:c>
      <x:c r="H27" s="20" t="s">
        <x:v>118</x:v>
      </x:c>
      <x:c r="I27" s="20" t="s">
        <x:v>113</x:v>
      </x:c>
      <x:c r="J27" s="20" t="s">
        <x:v>114</x:v>
      </x:c>
      <x:c r="K27" s="20" t="s">
        <x:v>190</x:v>
      </x:c>
    </x:row>
    <x:row r="28" ht="23.850000381469727" hidden="0">
      <x:c r="A28" s="20" t="s">
        <x:v>191</x:v>
      </x:c>
      <x:c r="B28" s="20" t="n">
        <x:v>4</x:v>
      </x:c>
      <x:c r="C28" s="20" t="s">
        <x:v>38</x:v>
      </x:c>
      <x:c r="D28" s="20" t="s">
        <x:v>39</x:v>
      </x:c>
      <x:c r="E28" s="20" t="s">
        <x:v>186</x:v>
      </x:c>
      <x:c r="F28" s="20" t="s">
        <x:v>113</x:v>
      </x:c>
      <x:c r="G28" s="20" t="s">
        <x:v>192</x:v>
      </x:c>
      <x:c r="H28" s="20" t="s">
        <x:v>122</x:v>
      </x:c>
      <x:c r="I28" s="20" t="s">
        <x:v>113</x:v>
      </x:c>
      <x:c r="J28" s="20" t="s">
        <x:v>114</x:v>
      </x:c>
      <x:c r="K28" s="20" t="s">
        <x:v>193</x:v>
      </x:c>
    </x:row>
    <x:row r="29" ht="23.850000381469727" hidden="0">
      <x:c r="A29" s="20" t="s">
        <x:v>194</x:v>
      </x:c>
      <x:c r="B29" s="20" t="n">
        <x:v>3</x:v>
      </x:c>
      <x:c r="C29" s="20" t="s">
        <x:v>38</x:v>
      </x:c>
      <x:c r="D29" s="20" t="s">
        <x:v>39</x:v>
      </x:c>
      <x:c r="E29" s="20" t="s">
        <x:v>195</x:v>
      </x:c>
      <x:c r="F29" s="20" t="s">
        <x:v>126</x:v>
      </x:c>
      <x:c r="G29" s="20"/>
      <x:c r="H29" s="20"/>
      <x:c r="I29" s="20" t="s">
        <x:v>126</x:v>
      </x:c>
      <x:c r="J29" s="20" t="s">
        <x:v>127</x:v>
      </x:c>
      <x:c r="K29" s="20" t="s">
        <x:v>196</x:v>
      </x:c>
    </x:row>
    <x:row r="30" ht="23.850000381469727" hidden="0">
      <x:c r="A30" s="20" t="s">
        <x:v>197</x:v>
      </x:c>
      <x:c r="B30" s="20" t="n">
        <x:v>4</x:v>
      </x:c>
      <x:c r="C30" s="20" t="s">
        <x:v>38</x:v>
      </x:c>
      <x:c r="D30" s="20" t="s">
        <x:v>39</x:v>
      </x:c>
      <x:c r="E30" s="20" t="s">
        <x:v>195</x:v>
      </x:c>
      <x:c r="F30" s="20" t="s">
        <x:v>126</x:v>
      </x:c>
      <x:c r="G30" s="20" t="s">
        <x:v>198</x:v>
      </x:c>
      <x:c r="H30" s="20" t="s">
        <x:v>131</x:v>
      </x:c>
      <x:c r="I30" s="20" t="s">
        <x:v>126</x:v>
      </x:c>
      <x:c r="J30" s="20" t="s">
        <x:v>127</x:v>
      </x:c>
      <x:c r="K30" s="20" t="s">
        <x:v>199</x:v>
      </x:c>
    </x:row>
    <x:row r="31" ht="23.850000381469727" hidden="0">
      <x:c r="A31" s="20" t="s">
        <x:v>200</x:v>
      </x:c>
      <x:c r="B31" s="20" t="n">
        <x:v>4</x:v>
      </x:c>
      <x:c r="C31" s="20" t="s">
        <x:v>38</x:v>
      </x:c>
      <x:c r="D31" s="20" t="s">
        <x:v>39</x:v>
      </x:c>
      <x:c r="E31" s="20" t="s">
        <x:v>195</x:v>
      </x:c>
      <x:c r="F31" s="20" t="s">
        <x:v>126</x:v>
      </x:c>
      <x:c r="G31" s="20" t="s">
        <x:v>201</x:v>
      </x:c>
      <x:c r="H31" s="20" t="s">
        <x:v>135</x:v>
      </x:c>
      <x:c r="I31" s="20" t="s">
        <x:v>126</x:v>
      </x:c>
      <x:c r="J31" s="20" t="s">
        <x:v>127</x:v>
      </x:c>
      <x:c r="K31" s="20" t="s">
        <x:v>202</x:v>
      </x:c>
    </x:row>
    <x:row r="32" ht="23.850000381469727" hidden="0">
      <x:c r="A32" s="20" t="s">
        <x:v>203</x:v>
      </x:c>
      <x:c r="B32" s="20" t="n">
        <x:v>3</x:v>
      </x:c>
      <x:c r="C32" s="20" t="s">
        <x:v>38</x:v>
      </x:c>
      <x:c r="D32" s="20" t="s">
        <x:v>39</x:v>
      </x:c>
      <x:c r="E32" s="20" t="s">
        <x:v>204</x:v>
      </x:c>
      <x:c r="F32" s="20" t="s">
        <x:v>139</x:v>
      </x:c>
      <x:c r="G32" s="20"/>
      <x:c r="H32" s="20"/>
      <x:c r="I32" s="20" t="s">
        <x:v>139</x:v>
      </x:c>
      <x:c r="J32" s="20" t="s">
        <x:v>140</x:v>
      </x:c>
      <x:c r="K32" s="20" t="s">
        <x:v>205</x:v>
      </x:c>
    </x:row>
    <x:row r="33" ht="23.850000381469727" hidden="0">
      <x:c r="A33" s="20" t="s">
        <x:v>206</x:v>
      </x:c>
      <x:c r="B33" s="20" t="n">
        <x:v>4</x:v>
      </x:c>
      <x:c r="C33" s="20" t="s">
        <x:v>38</x:v>
      </x:c>
      <x:c r="D33" s="20" t="s">
        <x:v>39</x:v>
      </x:c>
      <x:c r="E33" s="20" t="s">
        <x:v>204</x:v>
      </x:c>
      <x:c r="F33" s="20" t="s">
        <x:v>139</x:v>
      </x:c>
      <x:c r="G33" s="20" t="s">
        <x:v>207</x:v>
      </x:c>
      <x:c r="H33" s="20" t="s">
        <x:v>208</x:v>
      </x:c>
      <x:c r="I33" s="20" t="s">
        <x:v>139</x:v>
      </x:c>
      <x:c r="J33" s="20" t="s">
        <x:v>140</x:v>
      </x:c>
      <x:c r="K33" s="20" t="s">
        <x:v>209</x:v>
      </x:c>
    </x:row>
    <x:row r="34" ht="23.850000381469727" hidden="0">
      <x:c r="A34" s="20" t="s">
        <x:v>210</x:v>
      </x:c>
      <x:c r="B34" s="20" t="n">
        <x:v>4</x:v>
      </x:c>
      <x:c r="C34" s="20" t="s">
        <x:v>38</x:v>
      </x:c>
      <x:c r="D34" s="20" t="s">
        <x:v>39</x:v>
      </x:c>
      <x:c r="E34" s="20" t="s">
        <x:v>204</x:v>
      </x:c>
      <x:c r="F34" s="20" t="s">
        <x:v>139</x:v>
      </x:c>
      <x:c r="G34" s="20" t="s">
        <x:v>211</x:v>
      </x:c>
      <x:c r="H34" s="20" t="s">
        <x:v>212</x:v>
      </x:c>
      <x:c r="I34" s="20" t="s">
        <x:v>139</x:v>
      </x:c>
      <x:c r="J34" s="20" t="s">
        <x:v>140</x:v>
      </x:c>
      <x:c r="K34" s="20" t="s">
        <x:v>213</x:v>
      </x:c>
    </x:row>
    <x:row r="35" ht="23.850000381469727" hidden="0">
      <x:c r="A35" s="20" t="s">
        <x:v>214</x:v>
      </x:c>
      <x:c r="B35" s="20" t="n">
        <x:v>4</x:v>
      </x:c>
      <x:c r="C35" s="20" t="s">
        <x:v>38</x:v>
      </x:c>
      <x:c r="D35" s="20" t="s">
        <x:v>39</x:v>
      </x:c>
      <x:c r="E35" s="20" t="s">
        <x:v>204</x:v>
      </x:c>
      <x:c r="F35" s="20" t="s">
        <x:v>139</x:v>
      </x:c>
      <x:c r="G35" s="20" t="s">
        <x:v>215</x:v>
      </x:c>
      <x:c r="H35" s="20" t="s">
        <x:v>216</x:v>
      </x:c>
      <x:c r="I35" s="20" t="s">
        <x:v>139</x:v>
      </x:c>
      <x:c r="J35" s="20" t="s">
        <x:v>140</x:v>
      </x:c>
      <x:c r="K35" s="20" t="s">
        <x:v>217</x:v>
      </x:c>
    </x:row>
    <x:row r="36" ht="35.04999923706055" hidden="0">
      <x:c r="A36" s="20" t="s">
        <x:v>218</x:v>
      </x:c>
      <x:c r="B36" s="20" t="n">
        <x:v>3</x:v>
      </x:c>
      <x:c r="C36" s="20" t="s">
        <x:v>38</x:v>
      </x:c>
      <x:c r="D36" s="20" t="s">
        <x:v>39</x:v>
      </x:c>
      <x:c r="E36" s="20" t="s">
        <x:v>219</x:v>
      </x:c>
      <x:c r="F36" s="20" t="s">
        <x:v>156</x:v>
      </x:c>
      <x:c r="G36" s="20"/>
      <x:c r="H36" s="20"/>
      <x:c r="I36" s="20" t="s">
        <x:v>156</x:v>
      </x:c>
      <x:c r="J36" s="20" t="s">
        <x:v>157</x:v>
      </x:c>
      <x:c r="K36" s="20" t="s">
        <x:v>220</x:v>
      </x:c>
    </x:row>
    <x:row r="37" ht="23.850000381469727" hidden="0">
      <x:c r="A37" s="20" t="s">
        <x:v>221</x:v>
      </x:c>
      <x:c r="B37" s="20" t="n">
        <x:v>4</x:v>
      </x:c>
      <x:c r="C37" s="20" t="s">
        <x:v>38</x:v>
      </x:c>
      <x:c r="D37" s="20" t="s">
        <x:v>39</x:v>
      </x:c>
      <x:c r="E37" s="20" t="s">
        <x:v>219</x:v>
      </x:c>
      <x:c r="F37" s="20" t="s">
        <x:v>156</x:v>
      </x:c>
      <x:c r="G37" s="20" t="s">
        <x:v>222</x:v>
      </x:c>
      <x:c r="H37" s="20" t="s">
        <x:v>161</x:v>
      </x:c>
      <x:c r="I37" s="20" t="s">
        <x:v>156</x:v>
      </x:c>
      <x:c r="J37" s="20" t="s">
        <x:v>157</x:v>
      </x:c>
      <x:c r="K37" s="20" t="s">
        <x:v>223</x:v>
      </x:c>
    </x:row>
    <x:row r="38" ht="35.04999923706055" hidden="0">
      <x:c r="A38" s="20" t="s">
        <x:v>224</x:v>
      </x:c>
      <x:c r="B38" s="20" t="n">
        <x:v>3</x:v>
      </x:c>
      <x:c r="C38" s="20" t="s">
        <x:v>38</x:v>
      </x:c>
      <x:c r="D38" s="20" t="s">
        <x:v>39</x:v>
      </x:c>
      <x:c r="E38" s="20" t="s">
        <x:v>225</x:v>
      </x:c>
      <x:c r="F38" s="20" t="s">
        <x:v>165</x:v>
      </x:c>
      <x:c r="G38" s="20"/>
      <x:c r="H38" s="20"/>
      <x:c r="I38" s="20" t="s">
        <x:v>165</x:v>
      </x:c>
      <x:c r="J38" s="20" t="s">
        <x:v>166</x:v>
      </x:c>
      <x:c r="K38" s="20" t="s">
        <x:v>226</x:v>
      </x:c>
    </x:row>
    <x:row r="39" ht="23.850000381469727" hidden="0">
      <x:c r="A39" s="20" t="s">
        <x:v>227</x:v>
      </x:c>
      <x:c r="B39" s="20" t="n">
        <x:v>4</x:v>
      </x:c>
      <x:c r="C39" s="20" t="s">
        <x:v>38</x:v>
      </x:c>
      <x:c r="D39" s="20" t="s">
        <x:v>39</x:v>
      </x:c>
      <x:c r="E39" s="20" t="s">
        <x:v>225</x:v>
      </x:c>
      <x:c r="F39" s="20" t="s">
        <x:v>165</x:v>
      </x:c>
      <x:c r="G39" s="20" t="s">
        <x:v>228</x:v>
      </x:c>
      <x:c r="H39" s="20" t="s">
        <x:v>170</x:v>
      </x:c>
      <x:c r="I39" s="20" t="s">
        <x:v>165</x:v>
      </x:c>
      <x:c r="J39" s="20" t="s">
        <x:v>166</x:v>
      </x:c>
      <x:c r="K39" s="20" t="s">
        <x:v>229</x:v>
      </x:c>
    </x:row>
    <x:row r="40" ht="23.850000381469727" hidden="0">
      <x:c r="A40" s="20" t="s">
        <x:v>230</x:v>
      </x:c>
      <x:c r="B40" s="20" t="n">
        <x:v>4</x:v>
      </x:c>
      <x:c r="C40" s="20" t="s">
        <x:v>38</x:v>
      </x:c>
      <x:c r="D40" s="20" t="s">
        <x:v>39</x:v>
      </x:c>
      <x:c r="E40" s="20" t="s">
        <x:v>225</x:v>
      </x:c>
      <x:c r="F40" s="20" t="s">
        <x:v>165</x:v>
      </x:c>
      <x:c r="G40" s="20" t="s">
        <x:v>231</x:v>
      </x:c>
      <x:c r="H40" s="20" t="s">
        <x:v>174</x:v>
      </x:c>
      <x:c r="I40" s="20" t="s">
        <x:v>165</x:v>
      </x:c>
      <x:c r="J40" s="20" t="s">
        <x:v>166</x:v>
      </x:c>
      <x:c r="K40" s="20" t="s">
        <x:v>232</x:v>
      </x:c>
    </x:row>
    <x:row r="41" ht="35.04999923706055" hidden="0">
      <x:c r="A41" s="20" t="s">
        <x:v>233</x:v>
      </x:c>
      <x:c r="B41" s="20" t="n">
        <x:v>3</x:v>
      </x:c>
      <x:c r="C41" s="20" t="s">
        <x:v>43</x:v>
      </x:c>
      <x:c r="D41" s="20" t="s">
        <x:v>44</x:v>
      </x:c>
      <x:c r="E41" s="20" t="s">
        <x:v>234</x:v>
      </x:c>
      <x:c r="F41" s="20" t="s">
        <x:v>100</x:v>
      </x:c>
      <x:c r="G41" s="20"/>
      <x:c r="H41" s="20"/>
      <x:c r="I41" s="20" t="s">
        <x:v>100</x:v>
      </x:c>
      <x:c r="J41" s="20" t="s">
        <x:v>101</x:v>
      </x:c>
      <x:c r="K41" s="20" t="s">
        <x:v>235</x:v>
      </x:c>
    </x:row>
    <x:row r="42" ht="23.850000381469727" hidden="0">
      <x:c r="A42" s="20" t="s">
        <x:v>236</x:v>
      </x:c>
      <x:c r="B42" s="20" t="n">
        <x:v>4</x:v>
      </x:c>
      <x:c r="C42" s="20" t="s">
        <x:v>43</x:v>
      </x:c>
      <x:c r="D42" s="20" t="s">
        <x:v>44</x:v>
      </x:c>
      <x:c r="E42" s="20" t="s">
        <x:v>234</x:v>
      </x:c>
      <x:c r="F42" s="20" t="s">
        <x:v>100</x:v>
      </x:c>
      <x:c r="G42" s="20" t="s">
        <x:v>237</x:v>
      </x:c>
      <x:c r="H42" s="20" t="s">
        <x:v>105</x:v>
      </x:c>
      <x:c r="I42" s="20" t="s">
        <x:v>100</x:v>
      </x:c>
      <x:c r="J42" s="20" t="s">
        <x:v>101</x:v>
      </x:c>
      <x:c r="K42" s="20" t="s">
        <x:v>238</x:v>
      </x:c>
    </x:row>
    <x:row r="43" ht="23.850000381469727" hidden="0">
      <x:c r="A43" s="20" t="s">
        <x:v>239</x:v>
      </x:c>
      <x:c r="B43" s="20" t="n">
        <x:v>4</x:v>
      </x:c>
      <x:c r="C43" s="20" t="s">
        <x:v>43</x:v>
      </x:c>
      <x:c r="D43" s="20" t="s">
        <x:v>44</x:v>
      </x:c>
      <x:c r="E43" s="20" t="s">
        <x:v>234</x:v>
      </x:c>
      <x:c r="F43" s="20" t="s">
        <x:v>100</x:v>
      </x:c>
      <x:c r="G43" s="20" t="s">
        <x:v>240</x:v>
      </x:c>
      <x:c r="H43" s="20" t="s">
        <x:v>109</x:v>
      </x:c>
      <x:c r="I43" s="20" t="s">
        <x:v>100</x:v>
      </x:c>
      <x:c r="J43" s="20" t="s">
        <x:v>101</x:v>
      </x:c>
      <x:c r="K43" s="20" t="s">
        <x:v>241</x:v>
      </x:c>
    </x:row>
    <x:row r="44" ht="35.04999923706055" hidden="0">
      <x:c r="A44" s="20" t="s">
        <x:v>242</x:v>
      </x:c>
      <x:c r="B44" s="20" t="n">
        <x:v>3</x:v>
      </x:c>
      <x:c r="C44" s="20" t="s">
        <x:v>43</x:v>
      </x:c>
      <x:c r="D44" s="20" t="s">
        <x:v>44</x:v>
      </x:c>
      <x:c r="E44" s="20" t="s">
        <x:v>243</x:v>
      </x:c>
      <x:c r="F44" s="20" t="s">
        <x:v>113</x:v>
      </x:c>
      <x:c r="G44" s="20"/>
      <x:c r="H44" s="20"/>
      <x:c r="I44" s="20" t="s">
        <x:v>113</x:v>
      </x:c>
      <x:c r="J44" s="20" t="s">
        <x:v>114</x:v>
      </x:c>
      <x:c r="K44" s="20" t="s">
        <x:v>244</x:v>
      </x:c>
    </x:row>
    <x:row r="45" ht="23.850000381469727" hidden="0">
      <x:c r="A45" s="20" t="s">
        <x:v>245</x:v>
      </x:c>
      <x:c r="B45" s="20" t="n">
        <x:v>4</x:v>
      </x:c>
      <x:c r="C45" s="20" t="s">
        <x:v>43</x:v>
      </x:c>
      <x:c r="D45" s="20" t="s">
        <x:v>44</x:v>
      </x:c>
      <x:c r="E45" s="20" t="s">
        <x:v>243</x:v>
      </x:c>
      <x:c r="F45" s="20" t="s">
        <x:v>113</x:v>
      </x:c>
      <x:c r="G45" s="20" t="s">
        <x:v>246</x:v>
      </x:c>
      <x:c r="H45" s="20" t="s">
        <x:v>118</x:v>
      </x:c>
      <x:c r="I45" s="20" t="s">
        <x:v>113</x:v>
      </x:c>
      <x:c r="J45" s="20" t="s">
        <x:v>114</x:v>
      </x:c>
      <x:c r="K45" s="20" t="s">
        <x:v>247</x:v>
      </x:c>
    </x:row>
    <x:row r="46" ht="23.850000381469727" hidden="0">
      <x:c r="A46" s="20" t="s">
        <x:v>248</x:v>
      </x:c>
      <x:c r="B46" s="20" t="n">
        <x:v>4</x:v>
      </x:c>
      <x:c r="C46" s="20" t="s">
        <x:v>43</x:v>
      </x:c>
      <x:c r="D46" s="20" t="s">
        <x:v>44</x:v>
      </x:c>
      <x:c r="E46" s="20" t="s">
        <x:v>243</x:v>
      </x:c>
      <x:c r="F46" s="20" t="s">
        <x:v>113</x:v>
      </x:c>
      <x:c r="G46" s="20" t="s">
        <x:v>249</x:v>
      </x:c>
      <x:c r="H46" s="20" t="s">
        <x:v>122</x:v>
      </x:c>
      <x:c r="I46" s="20" t="s">
        <x:v>113</x:v>
      </x:c>
      <x:c r="J46" s="20" t="s">
        <x:v>114</x:v>
      </x:c>
      <x:c r="K46" s="20" t="s">
        <x:v>250</x:v>
      </x:c>
    </x:row>
    <x:row r="47" ht="35.04999923706055" hidden="0">
      <x:c r="A47" s="20" t="s">
        <x:v>251</x:v>
      </x:c>
      <x:c r="B47" s="20" t="n">
        <x:v>3</x:v>
      </x:c>
      <x:c r="C47" s="20" t="s">
        <x:v>43</x:v>
      </x:c>
      <x:c r="D47" s="20" t="s">
        <x:v>44</x:v>
      </x:c>
      <x:c r="E47" s="20" t="s">
        <x:v>252</x:v>
      </x:c>
      <x:c r="F47" s="20" t="s">
        <x:v>126</x:v>
      </x:c>
      <x:c r="G47" s="20"/>
      <x:c r="H47" s="20"/>
      <x:c r="I47" s="20" t="s">
        <x:v>126</x:v>
      </x:c>
      <x:c r="J47" s="20" t="s">
        <x:v>127</x:v>
      </x:c>
      <x:c r="K47" s="20" t="s">
        <x:v>253</x:v>
      </x:c>
    </x:row>
    <x:row r="48" ht="23.850000381469727" hidden="0">
      <x:c r="A48" s="20" t="s">
        <x:v>254</x:v>
      </x:c>
      <x:c r="B48" s="20" t="n">
        <x:v>4</x:v>
      </x:c>
      <x:c r="C48" s="20" t="s">
        <x:v>43</x:v>
      </x:c>
      <x:c r="D48" s="20" t="s">
        <x:v>44</x:v>
      </x:c>
      <x:c r="E48" s="20" t="s">
        <x:v>252</x:v>
      </x:c>
      <x:c r="F48" s="20" t="s">
        <x:v>126</x:v>
      </x:c>
      <x:c r="G48" s="20" t="s">
        <x:v>255</x:v>
      </x:c>
      <x:c r="H48" s="20" t="s">
        <x:v>131</x:v>
      </x:c>
      <x:c r="I48" s="20" t="s">
        <x:v>126</x:v>
      </x:c>
      <x:c r="J48" s="20" t="s">
        <x:v>127</x:v>
      </x:c>
      <x:c r="K48" s="20" t="s">
        <x:v>256</x:v>
      </x:c>
    </x:row>
    <x:row r="49" ht="23.850000381469727" hidden="0">
      <x:c r="A49" s="20" t="s">
        <x:v>257</x:v>
      </x:c>
      <x:c r="B49" s="20" t="n">
        <x:v>4</x:v>
      </x:c>
      <x:c r="C49" s="20" t="s">
        <x:v>43</x:v>
      </x:c>
      <x:c r="D49" s="20" t="s">
        <x:v>44</x:v>
      </x:c>
      <x:c r="E49" s="20" t="s">
        <x:v>252</x:v>
      </x:c>
      <x:c r="F49" s="20" t="s">
        <x:v>126</x:v>
      </x:c>
      <x:c r="G49" s="20" t="s">
        <x:v>258</x:v>
      </x:c>
      <x:c r="H49" s="20" t="s">
        <x:v>135</x:v>
      </x:c>
      <x:c r="I49" s="20" t="s">
        <x:v>126</x:v>
      </x:c>
      <x:c r="J49" s="20" t="s">
        <x:v>127</x:v>
      </x:c>
      <x:c r="K49" s="20" t="s">
        <x:v>259</x:v>
      </x:c>
    </x:row>
    <x:row r="50" ht="35.04999923706055" hidden="0">
      <x:c r="A50" s="20" t="s">
        <x:v>260</x:v>
      </x:c>
      <x:c r="B50" s="20" t="n">
        <x:v>3</x:v>
      </x:c>
      <x:c r="C50" s="20" t="s">
        <x:v>43</x:v>
      </x:c>
      <x:c r="D50" s="20" t="s">
        <x:v>44</x:v>
      </x:c>
      <x:c r="E50" s="20" t="s">
        <x:v>261</x:v>
      </x:c>
      <x:c r="F50" s="20" t="s">
        <x:v>139</x:v>
      </x:c>
      <x:c r="G50" s="20"/>
      <x:c r="H50" s="20"/>
      <x:c r="I50" s="20" t="s">
        <x:v>139</x:v>
      </x:c>
      <x:c r="J50" s="20" t="s">
        <x:v>140</x:v>
      </x:c>
      <x:c r="K50" s="20" t="s">
        <x:v>262</x:v>
      </x:c>
    </x:row>
    <x:row r="51" ht="23.850000381469727" hidden="0">
      <x:c r="A51" s="20" t="s">
        <x:v>263</x:v>
      </x:c>
      <x:c r="B51" s="20" t="n">
        <x:v>4</x:v>
      </x:c>
      <x:c r="C51" s="20" t="s">
        <x:v>43</x:v>
      </x:c>
      <x:c r="D51" s="20" t="s">
        <x:v>44</x:v>
      </x:c>
      <x:c r="E51" s="20" t="s">
        <x:v>261</x:v>
      </x:c>
      <x:c r="F51" s="20" t="s">
        <x:v>139</x:v>
      </x:c>
      <x:c r="G51" s="20" t="s">
        <x:v>264</x:v>
      </x:c>
      <x:c r="H51" s="20" t="s">
        <x:v>265</x:v>
      </x:c>
      <x:c r="I51" s="20" t="s">
        <x:v>139</x:v>
      </x:c>
      <x:c r="J51" s="20" t="s">
        <x:v>140</x:v>
      </x:c>
      <x:c r="K51" s="20" t="s">
        <x:v>266</x:v>
      </x:c>
    </x:row>
    <x:row r="52" ht="23.850000381469727" hidden="0">
      <x:c r="A52" s="20" t="s">
        <x:v>267</x:v>
      </x:c>
      <x:c r="B52" s="20" t="n">
        <x:v>4</x:v>
      </x:c>
      <x:c r="C52" s="20" t="s">
        <x:v>43</x:v>
      </x:c>
      <x:c r="D52" s="20" t="s">
        <x:v>44</x:v>
      </x:c>
      <x:c r="E52" s="20" t="s">
        <x:v>261</x:v>
      </x:c>
      <x:c r="F52" s="20" t="s">
        <x:v>139</x:v>
      </x:c>
      <x:c r="G52" s="20" t="s">
        <x:v>268</x:v>
      </x:c>
      <x:c r="H52" s="20" t="s">
        <x:v>269</x:v>
      </x:c>
      <x:c r="I52" s="20" t="s">
        <x:v>139</x:v>
      </x:c>
      <x:c r="J52" s="20" t="s">
        <x:v>140</x:v>
      </x:c>
      <x:c r="K52" s="20" t="s">
        <x:v>270</x:v>
      </x:c>
    </x:row>
    <x:row r="53" ht="23.850000381469727" hidden="0">
      <x:c r="A53" s="20" t="s">
        <x:v>271</x:v>
      </x:c>
      <x:c r="B53" s="20" t="n">
        <x:v>4</x:v>
      </x:c>
      <x:c r="C53" s="20" t="s">
        <x:v>43</x:v>
      </x:c>
      <x:c r="D53" s="20" t="s">
        <x:v>44</x:v>
      </x:c>
      <x:c r="E53" s="20" t="s">
        <x:v>261</x:v>
      </x:c>
      <x:c r="F53" s="20" t="s">
        <x:v>139</x:v>
      </x:c>
      <x:c r="G53" s="20" t="s">
        <x:v>272</x:v>
      </x:c>
      <x:c r="H53" s="20" t="s">
        <x:v>273</x:v>
      </x:c>
      <x:c r="I53" s="20" t="s">
        <x:v>139</x:v>
      </x:c>
      <x:c r="J53" s="20" t="s">
        <x:v>140</x:v>
      </x:c>
      <x:c r="K53" s="20" t="s">
        <x:v>274</x:v>
      </x:c>
    </x:row>
    <x:row r="54" ht="35.04999923706055" hidden="0">
      <x:c r="A54" s="20" t="s">
        <x:v>275</x:v>
      </x:c>
      <x:c r="B54" s="20" t="n">
        <x:v>3</x:v>
      </x:c>
      <x:c r="C54" s="20" t="s">
        <x:v>43</x:v>
      </x:c>
      <x:c r="D54" s="20" t="s">
        <x:v>44</x:v>
      </x:c>
      <x:c r="E54" s="20" t="s">
        <x:v>276</x:v>
      </x:c>
      <x:c r="F54" s="20" t="s">
        <x:v>156</x:v>
      </x:c>
      <x:c r="G54" s="20"/>
      <x:c r="H54" s="20"/>
      <x:c r="I54" s="20" t="s">
        <x:v>156</x:v>
      </x:c>
      <x:c r="J54" s="20" t="s">
        <x:v>157</x:v>
      </x:c>
      <x:c r="K54" s="20" t="s">
        <x:v>277</x:v>
      </x:c>
    </x:row>
    <x:row r="55" ht="23.850000381469727" hidden="0">
      <x:c r="A55" s="20" t="s">
        <x:v>278</x:v>
      </x:c>
      <x:c r="B55" s="20" t="n">
        <x:v>4</x:v>
      </x:c>
      <x:c r="C55" s="20" t="s">
        <x:v>43</x:v>
      </x:c>
      <x:c r="D55" s="20" t="s">
        <x:v>44</x:v>
      </x:c>
      <x:c r="E55" s="20" t="s">
        <x:v>276</x:v>
      </x:c>
      <x:c r="F55" s="20" t="s">
        <x:v>156</x:v>
      </x:c>
      <x:c r="G55" s="20" t="s">
        <x:v>279</x:v>
      </x:c>
      <x:c r="H55" s="20" t="s">
        <x:v>280</x:v>
      </x:c>
      <x:c r="I55" s="20" t="s">
        <x:v>156</x:v>
      </x:c>
      <x:c r="J55" s="20" t="s">
        <x:v>157</x:v>
      </x:c>
      <x:c r="K55" s="20" t="s">
        <x:v>281</x:v>
      </x:c>
    </x:row>
    <x:row r="56" ht="23.850000381469727" hidden="0">
      <x:c r="A56" s="20" t="s">
        <x:v>282</x:v>
      </x:c>
      <x:c r="B56" s="20" t="n">
        <x:v>4</x:v>
      </x:c>
      <x:c r="C56" s="20" t="s">
        <x:v>43</x:v>
      </x:c>
      <x:c r="D56" s="20" t="s">
        <x:v>44</x:v>
      </x:c>
      <x:c r="E56" s="20" t="s">
        <x:v>276</x:v>
      </x:c>
      <x:c r="F56" s="20" t="s">
        <x:v>156</x:v>
      </x:c>
      <x:c r="G56" s="20" t="s">
        <x:v>283</x:v>
      </x:c>
      <x:c r="H56" s="20" t="s">
        <x:v>284</x:v>
      </x:c>
      <x:c r="I56" s="20" t="s">
        <x:v>156</x:v>
      </x:c>
      <x:c r="J56" s="20" t="s">
        <x:v>157</x:v>
      </x:c>
      <x:c r="K56" s="20" t="s">
        <x:v>285</x:v>
      </x:c>
    </x:row>
    <x:row r="57" ht="23.850000381469727" hidden="0">
      <x:c r="A57" s="20" t="s">
        <x:v>286</x:v>
      </x:c>
      <x:c r="B57" s="20" t="n">
        <x:v>4</x:v>
      </x:c>
      <x:c r="C57" s="20" t="s">
        <x:v>43</x:v>
      </x:c>
      <x:c r="D57" s="20" t="s">
        <x:v>44</x:v>
      </x:c>
      <x:c r="E57" s="20" t="s">
        <x:v>276</x:v>
      </x:c>
      <x:c r="F57" s="20" t="s">
        <x:v>156</x:v>
      </x:c>
      <x:c r="G57" s="20" t="s">
        <x:v>287</x:v>
      </x:c>
      <x:c r="H57" s="20" t="s">
        <x:v>288</x:v>
      </x:c>
      <x:c r="I57" s="20" t="s">
        <x:v>156</x:v>
      </x:c>
      <x:c r="J57" s="20" t="s">
        <x:v>157</x:v>
      </x:c>
      <x:c r="K57" s="20" t="s">
        <x:v>289</x:v>
      </x:c>
    </x:row>
    <x:row r="58" ht="35.04999923706055" hidden="0">
      <x:c r="A58" s="20" t="s">
        <x:v>290</x:v>
      </x:c>
      <x:c r="B58" s="20" t="n">
        <x:v>3</x:v>
      </x:c>
      <x:c r="C58" s="20" t="s">
        <x:v>43</x:v>
      </x:c>
      <x:c r="D58" s="20" t="s">
        <x:v>44</x:v>
      </x:c>
      <x:c r="E58" s="20" t="s">
        <x:v>291</x:v>
      </x:c>
      <x:c r="F58" s="20" t="s">
        <x:v>165</x:v>
      </x:c>
      <x:c r="G58" s="20"/>
      <x:c r="H58" s="20"/>
      <x:c r="I58" s="20" t="s">
        <x:v>165</x:v>
      </x:c>
      <x:c r="J58" s="20" t="s">
        <x:v>166</x:v>
      </x:c>
      <x:c r="K58" s="20" t="s">
        <x:v>292</x:v>
      </x:c>
    </x:row>
    <x:row r="59" ht="23.850000381469727" hidden="0">
      <x:c r="A59" s="20" t="s">
        <x:v>293</x:v>
      </x:c>
      <x:c r="B59" s="20" t="n">
        <x:v>4</x:v>
      </x:c>
      <x:c r="C59" s="20" t="s">
        <x:v>43</x:v>
      </x:c>
      <x:c r="D59" s="20" t="s">
        <x:v>44</x:v>
      </x:c>
      <x:c r="E59" s="20" t="s">
        <x:v>291</x:v>
      </x:c>
      <x:c r="F59" s="20" t="s">
        <x:v>165</x:v>
      </x:c>
      <x:c r="G59" s="20" t="s">
        <x:v>294</x:v>
      </x:c>
      <x:c r="H59" s="20" t="s">
        <x:v>170</x:v>
      </x:c>
      <x:c r="I59" s="20" t="s">
        <x:v>165</x:v>
      </x:c>
      <x:c r="J59" s="20" t="s">
        <x:v>166</x:v>
      </x:c>
      <x:c r="K59" s="20" t="s">
        <x:v>295</x:v>
      </x:c>
    </x:row>
    <x:row r="60" ht="23.850000381469727" hidden="0">
      <x:c r="A60" s="20" t="s">
        <x:v>296</x:v>
      </x:c>
      <x:c r="B60" s="20" t="n">
        <x:v>4</x:v>
      </x:c>
      <x:c r="C60" s="20" t="s">
        <x:v>43</x:v>
      </x:c>
      <x:c r="D60" s="20" t="s">
        <x:v>44</x:v>
      </x:c>
      <x:c r="E60" s="20" t="s">
        <x:v>291</x:v>
      </x:c>
      <x:c r="F60" s="20" t="s">
        <x:v>165</x:v>
      </x:c>
      <x:c r="G60" s="20" t="s">
        <x:v>297</x:v>
      </x:c>
      <x:c r="H60" s="20" t="s">
        <x:v>174</x:v>
      </x:c>
      <x:c r="I60" s="20" t="s">
        <x:v>165</x:v>
      </x:c>
      <x:c r="J60" s="20" t="s">
        <x:v>166</x:v>
      </x:c>
      <x:c r="K60" s="20" t="s">
        <x:v>298</x:v>
      </x:c>
    </x:row>
    <x:row r="61" ht="35.04999923706055" hidden="0">
      <x:c r="A61" s="20" t="s">
        <x:v>299</x:v>
      </x:c>
      <x:c r="B61" s="20" t="n">
        <x:v>3</x:v>
      </x:c>
      <x:c r="C61" s="20" t="s">
        <x:v>47</x:v>
      </x:c>
      <x:c r="D61" s="20" t="s">
        <x:v>48</x:v>
      </x:c>
      <x:c r="E61" s="20" t="s">
        <x:v>300</x:v>
      </x:c>
      <x:c r="F61" s="20" t="s">
        <x:v>100</x:v>
      </x:c>
      <x:c r="G61" s="20"/>
      <x:c r="H61" s="20"/>
      <x:c r="I61" s="20" t="s">
        <x:v>100</x:v>
      </x:c>
      <x:c r="J61" s="20" t="s">
        <x:v>101</x:v>
      </x:c>
      <x:c r="K61" s="20" t="s">
        <x:v>301</x:v>
      </x:c>
    </x:row>
    <x:row r="62" ht="23.850000381469727" hidden="0">
      <x:c r="A62" s="20" t="s">
        <x:v>302</x:v>
      </x:c>
      <x:c r="B62" s="20" t="n">
        <x:v>4</x:v>
      </x:c>
      <x:c r="C62" s="20" t="s">
        <x:v>47</x:v>
      </x:c>
      <x:c r="D62" s="20" t="s">
        <x:v>48</x:v>
      </x:c>
      <x:c r="E62" s="20" t="s">
        <x:v>300</x:v>
      </x:c>
      <x:c r="F62" s="20" t="s">
        <x:v>100</x:v>
      </x:c>
      <x:c r="G62" s="20" t="s">
        <x:v>303</x:v>
      </x:c>
      <x:c r="H62" s="20" t="s">
        <x:v>105</x:v>
      </x:c>
      <x:c r="I62" s="20" t="s">
        <x:v>100</x:v>
      </x:c>
      <x:c r="J62" s="20" t="s">
        <x:v>101</x:v>
      </x:c>
      <x:c r="K62" s="20" t="s">
        <x:v>304</x:v>
      </x:c>
    </x:row>
    <x:row r="63" ht="23.850000381469727" hidden="0">
      <x:c r="A63" s="20" t="s">
        <x:v>305</x:v>
      </x:c>
      <x:c r="B63" s="20" t="n">
        <x:v>4</x:v>
      </x:c>
      <x:c r="C63" s="20" t="s">
        <x:v>47</x:v>
      </x:c>
      <x:c r="D63" s="20" t="s">
        <x:v>48</x:v>
      </x:c>
      <x:c r="E63" s="20" t="s">
        <x:v>300</x:v>
      </x:c>
      <x:c r="F63" s="20" t="s">
        <x:v>100</x:v>
      </x:c>
      <x:c r="G63" s="20" t="s">
        <x:v>306</x:v>
      </x:c>
      <x:c r="H63" s="20" t="s">
        <x:v>109</x:v>
      </x:c>
      <x:c r="I63" s="20" t="s">
        <x:v>100</x:v>
      </x:c>
      <x:c r="J63" s="20" t="s">
        <x:v>101</x:v>
      </x:c>
      <x:c r="K63" s="20" t="s">
        <x:v>307</x:v>
      </x:c>
    </x:row>
    <x:row r="64" ht="35.04999923706055" hidden="0">
      <x:c r="A64" s="20" t="s">
        <x:v>308</x:v>
      </x:c>
      <x:c r="B64" s="20" t="n">
        <x:v>3</x:v>
      </x:c>
      <x:c r="C64" s="20" t="s">
        <x:v>47</x:v>
      </x:c>
      <x:c r="D64" s="20" t="s">
        <x:v>48</x:v>
      </x:c>
      <x:c r="E64" s="20" t="s">
        <x:v>309</x:v>
      </x:c>
      <x:c r="F64" s="20" t="s">
        <x:v>113</x:v>
      </x:c>
      <x:c r="G64" s="20"/>
      <x:c r="H64" s="20"/>
      <x:c r="I64" s="20" t="s">
        <x:v>113</x:v>
      </x:c>
      <x:c r="J64" s="20" t="s">
        <x:v>114</x:v>
      </x:c>
      <x:c r="K64" s="20" t="s">
        <x:v>310</x:v>
      </x:c>
    </x:row>
    <x:row r="65" ht="23.850000381469727" hidden="0">
      <x:c r="A65" s="20" t="s">
        <x:v>311</x:v>
      </x:c>
      <x:c r="B65" s="20" t="n">
        <x:v>4</x:v>
      </x:c>
      <x:c r="C65" s="20" t="s">
        <x:v>47</x:v>
      </x:c>
      <x:c r="D65" s="20" t="s">
        <x:v>48</x:v>
      </x:c>
      <x:c r="E65" s="20" t="s">
        <x:v>309</x:v>
      </x:c>
      <x:c r="F65" s="20" t="s">
        <x:v>113</x:v>
      </x:c>
      <x:c r="G65" s="20" t="s">
        <x:v>312</x:v>
      </x:c>
      <x:c r="H65" s="20" t="s">
        <x:v>118</x:v>
      </x:c>
      <x:c r="I65" s="20" t="s">
        <x:v>113</x:v>
      </x:c>
      <x:c r="J65" s="20" t="s">
        <x:v>114</x:v>
      </x:c>
      <x:c r="K65" s="20" t="s">
        <x:v>313</x:v>
      </x:c>
    </x:row>
    <x:row r="66" ht="23.850000381469727" hidden="0">
      <x:c r="A66" s="20" t="s">
        <x:v>314</x:v>
      </x:c>
      <x:c r="B66" s="20" t="n">
        <x:v>4</x:v>
      </x:c>
      <x:c r="C66" s="20" t="s">
        <x:v>47</x:v>
      </x:c>
      <x:c r="D66" s="20" t="s">
        <x:v>48</x:v>
      </x:c>
      <x:c r="E66" s="20" t="s">
        <x:v>309</x:v>
      </x:c>
      <x:c r="F66" s="20" t="s">
        <x:v>113</x:v>
      </x:c>
      <x:c r="G66" s="20" t="s">
        <x:v>315</x:v>
      </x:c>
      <x:c r="H66" s="20" t="s">
        <x:v>122</x:v>
      </x:c>
      <x:c r="I66" s="20" t="s">
        <x:v>113</x:v>
      </x:c>
      <x:c r="J66" s="20" t="s">
        <x:v>114</x:v>
      </x:c>
      <x:c r="K66" s="20" t="s">
        <x:v>316</x:v>
      </x:c>
    </x:row>
    <x:row r="67" ht="23.850000381469727" hidden="0">
      <x:c r="A67" s="20" t="s">
        <x:v>317</x:v>
      </x:c>
      <x:c r="B67" s="20" t="n">
        <x:v>3</x:v>
      </x:c>
      <x:c r="C67" s="20" t="s">
        <x:v>47</x:v>
      </x:c>
      <x:c r="D67" s="20" t="s">
        <x:v>48</x:v>
      </x:c>
      <x:c r="E67" s="20" t="s">
        <x:v>318</x:v>
      </x:c>
      <x:c r="F67" s="20" t="s">
        <x:v>126</x:v>
      </x:c>
      <x:c r="G67" s="20"/>
      <x:c r="H67" s="20"/>
      <x:c r="I67" s="20" t="s">
        <x:v>126</x:v>
      </x:c>
      <x:c r="J67" s="20" t="s">
        <x:v>127</x:v>
      </x:c>
      <x:c r="K67" s="20" t="s">
        <x:v>319</x:v>
      </x:c>
    </x:row>
    <x:row r="68" ht="23.850000381469727" hidden="0">
      <x:c r="A68" s="20" t="s">
        <x:v>320</x:v>
      </x:c>
      <x:c r="B68" s="20" t="n">
        <x:v>4</x:v>
      </x:c>
      <x:c r="C68" s="20" t="s">
        <x:v>47</x:v>
      </x:c>
      <x:c r="D68" s="20" t="s">
        <x:v>48</x:v>
      </x:c>
      <x:c r="E68" s="20" t="s">
        <x:v>318</x:v>
      </x:c>
      <x:c r="F68" s="20" t="s">
        <x:v>126</x:v>
      </x:c>
      <x:c r="G68" s="20" t="s">
        <x:v>321</x:v>
      </x:c>
      <x:c r="H68" s="20" t="s">
        <x:v>131</x:v>
      </x:c>
      <x:c r="I68" s="20" t="s">
        <x:v>126</x:v>
      </x:c>
      <x:c r="J68" s="20" t="s">
        <x:v>127</x:v>
      </x:c>
      <x:c r="K68" s="20" t="s">
        <x:v>322</x:v>
      </x:c>
    </x:row>
    <x:row r="69" ht="23.850000381469727" hidden="0">
      <x:c r="A69" s="20" t="s">
        <x:v>323</x:v>
      </x:c>
      <x:c r="B69" s="20" t="n">
        <x:v>4</x:v>
      </x:c>
      <x:c r="C69" s="20" t="s">
        <x:v>47</x:v>
      </x:c>
      <x:c r="D69" s="20" t="s">
        <x:v>48</x:v>
      </x:c>
      <x:c r="E69" s="20" t="s">
        <x:v>318</x:v>
      </x:c>
      <x:c r="F69" s="20" t="s">
        <x:v>126</x:v>
      </x:c>
      <x:c r="G69" s="20" t="s">
        <x:v>324</x:v>
      </x:c>
      <x:c r="H69" s="20" t="s">
        <x:v>135</x:v>
      </x:c>
      <x:c r="I69" s="20" t="s">
        <x:v>126</x:v>
      </x:c>
      <x:c r="J69" s="20" t="s">
        <x:v>127</x:v>
      </x:c>
      <x:c r="K69" s="20" t="s">
        <x:v>325</x:v>
      </x:c>
    </x:row>
    <x:row r="70" ht="23.850000381469727" hidden="0">
      <x:c r="A70" s="20" t="s">
        <x:v>326</x:v>
      </x:c>
      <x:c r="B70" s="20" t="n">
        <x:v>3</x:v>
      </x:c>
      <x:c r="C70" s="20" t="s">
        <x:v>47</x:v>
      </x:c>
      <x:c r="D70" s="20" t="s">
        <x:v>48</x:v>
      </x:c>
      <x:c r="E70" s="20" t="s">
        <x:v>327</x:v>
      </x:c>
      <x:c r="F70" s="20" t="s">
        <x:v>139</x:v>
      </x:c>
      <x:c r="G70" s="20"/>
      <x:c r="H70" s="20"/>
      <x:c r="I70" s="20" t="s">
        <x:v>139</x:v>
      </x:c>
      <x:c r="J70" s="20" t="s">
        <x:v>140</x:v>
      </x:c>
      <x:c r="K70" s="20" t="s">
        <x:v>328</x:v>
      </x:c>
    </x:row>
    <x:row r="71" ht="23.850000381469727" hidden="0">
      <x:c r="A71" s="20" t="s">
        <x:v>329</x:v>
      </x:c>
      <x:c r="B71" s="20" t="n">
        <x:v>4</x:v>
      </x:c>
      <x:c r="C71" s="20" t="s">
        <x:v>47</x:v>
      </x:c>
      <x:c r="D71" s="20" t="s">
        <x:v>48</x:v>
      </x:c>
      <x:c r="E71" s="20" t="s">
        <x:v>327</x:v>
      </x:c>
      <x:c r="F71" s="20" t="s">
        <x:v>139</x:v>
      </x:c>
      <x:c r="G71" s="20" t="s">
        <x:v>330</x:v>
      </x:c>
      <x:c r="H71" s="20" t="s">
        <x:v>331</x:v>
      </x:c>
      <x:c r="I71" s="20" t="s">
        <x:v>139</x:v>
      </x:c>
      <x:c r="J71" s="20" t="s">
        <x:v>140</x:v>
      </x:c>
      <x:c r="K71" s="20" t="s">
        <x:v>332</x:v>
      </x:c>
    </x:row>
    <x:row r="72" ht="23.850000381469727" hidden="0">
      <x:c r="A72" s="20" t="s">
        <x:v>333</x:v>
      </x:c>
      <x:c r="B72" s="20" t="n">
        <x:v>4</x:v>
      </x:c>
      <x:c r="C72" s="20" t="s">
        <x:v>47</x:v>
      </x:c>
      <x:c r="D72" s="20" t="s">
        <x:v>48</x:v>
      </x:c>
      <x:c r="E72" s="20" t="s">
        <x:v>327</x:v>
      </x:c>
      <x:c r="F72" s="20" t="s">
        <x:v>139</x:v>
      </x:c>
      <x:c r="G72" s="20" t="s">
        <x:v>334</x:v>
      </x:c>
      <x:c r="H72" s="20" t="s">
        <x:v>335</x:v>
      </x:c>
      <x:c r="I72" s="20" t="s">
        <x:v>139</x:v>
      </x:c>
      <x:c r="J72" s="20" t="s">
        <x:v>140</x:v>
      </x:c>
      <x:c r="K72" s="20" t="s">
        <x:v>336</x:v>
      </x:c>
    </x:row>
    <x:row r="73" ht="23.850000381469727" hidden="0">
      <x:c r="A73" s="20" t="s">
        <x:v>337</x:v>
      </x:c>
      <x:c r="B73" s="20" t="n">
        <x:v>4</x:v>
      </x:c>
      <x:c r="C73" s="20" t="s">
        <x:v>47</x:v>
      </x:c>
      <x:c r="D73" s="20" t="s">
        <x:v>48</x:v>
      </x:c>
      <x:c r="E73" s="20" t="s">
        <x:v>327</x:v>
      </x:c>
      <x:c r="F73" s="20" t="s">
        <x:v>139</x:v>
      </x:c>
      <x:c r="G73" s="20" t="s">
        <x:v>338</x:v>
      </x:c>
      <x:c r="H73" s="20" t="s">
        <x:v>339</x:v>
      </x:c>
      <x:c r="I73" s="20" t="s">
        <x:v>139</x:v>
      </x:c>
      <x:c r="J73" s="20" t="s">
        <x:v>140</x:v>
      </x:c>
      <x:c r="K73" s="20" t="s">
        <x:v>340</x:v>
      </x:c>
    </x:row>
    <x:row r="74" ht="35.04999923706055" hidden="0">
      <x:c r="A74" s="20" t="s">
        <x:v>341</x:v>
      </x:c>
      <x:c r="B74" s="20" t="n">
        <x:v>3</x:v>
      </x:c>
      <x:c r="C74" s="20" t="s">
        <x:v>47</x:v>
      </x:c>
      <x:c r="D74" s="20" t="s">
        <x:v>48</x:v>
      </x:c>
      <x:c r="E74" s="20" t="s">
        <x:v>342</x:v>
      </x:c>
      <x:c r="F74" s="20" t="s">
        <x:v>156</x:v>
      </x:c>
      <x:c r="G74" s="20"/>
      <x:c r="H74" s="20"/>
      <x:c r="I74" s="20" t="s">
        <x:v>156</x:v>
      </x:c>
      <x:c r="J74" s="20" t="s">
        <x:v>157</x:v>
      </x:c>
      <x:c r="K74" s="20" t="s">
        <x:v>343</x:v>
      </x:c>
    </x:row>
    <x:row r="75" ht="23.850000381469727" hidden="0">
      <x:c r="A75" s="20" t="s">
        <x:v>344</x:v>
      </x:c>
      <x:c r="B75" s="20" t="n">
        <x:v>4</x:v>
      </x:c>
      <x:c r="C75" s="20" t="s">
        <x:v>47</x:v>
      </x:c>
      <x:c r="D75" s="20" t="s">
        <x:v>48</x:v>
      </x:c>
      <x:c r="E75" s="20" t="s">
        <x:v>342</x:v>
      </x:c>
      <x:c r="F75" s="20" t="s">
        <x:v>156</x:v>
      </x:c>
      <x:c r="G75" s="20" t="s">
        <x:v>345</x:v>
      </x:c>
      <x:c r="H75" s="20" t="s">
        <x:v>161</x:v>
      </x:c>
      <x:c r="I75" s="20" t="s">
        <x:v>156</x:v>
      </x:c>
      <x:c r="J75" s="20" t="s">
        <x:v>157</x:v>
      </x:c>
      <x:c r="K75" s="20" t="s">
        <x:v>346</x:v>
      </x:c>
    </x:row>
    <x:row r="76" ht="35.04999923706055" hidden="0">
      <x:c r="A76" s="20" t="s">
        <x:v>347</x:v>
      </x:c>
      <x:c r="B76" s="20" t="n">
        <x:v>3</x:v>
      </x:c>
      <x:c r="C76" s="20" t="s">
        <x:v>47</x:v>
      </x:c>
      <x:c r="D76" s="20" t="s">
        <x:v>48</x:v>
      </x:c>
      <x:c r="E76" s="20" t="s">
        <x:v>348</x:v>
      </x:c>
      <x:c r="F76" s="20" t="s">
        <x:v>165</x:v>
      </x:c>
      <x:c r="G76" s="20"/>
      <x:c r="H76" s="20"/>
      <x:c r="I76" s="20" t="s">
        <x:v>165</x:v>
      </x:c>
      <x:c r="J76" s="20" t="s">
        <x:v>166</x:v>
      </x:c>
      <x:c r="K76" s="20" t="s">
        <x:v>349</x:v>
      </x:c>
    </x:row>
    <x:row r="77" ht="23.850000381469727" hidden="0">
      <x:c r="A77" s="20" t="s">
        <x:v>350</x:v>
      </x:c>
      <x:c r="B77" s="20" t="n">
        <x:v>4</x:v>
      </x:c>
      <x:c r="C77" s="20" t="s">
        <x:v>47</x:v>
      </x:c>
      <x:c r="D77" s="20" t="s">
        <x:v>48</x:v>
      </x:c>
      <x:c r="E77" s="20" t="s">
        <x:v>348</x:v>
      </x:c>
      <x:c r="F77" s="20" t="s">
        <x:v>165</x:v>
      </x:c>
      <x:c r="G77" s="20" t="s">
        <x:v>351</x:v>
      </x:c>
      <x:c r="H77" s="20" t="s">
        <x:v>170</x:v>
      </x:c>
      <x:c r="I77" s="20" t="s">
        <x:v>165</x:v>
      </x:c>
      <x:c r="J77" s="20" t="s">
        <x:v>166</x:v>
      </x:c>
      <x:c r="K77" s="20" t="s">
        <x:v>352</x:v>
      </x:c>
    </x:row>
    <x:row r="78" ht="23.850000381469727" hidden="0">
      <x:c r="A78" s="20" t="s">
        <x:v>353</x:v>
      </x:c>
      <x:c r="B78" s="20" t="n">
        <x:v>4</x:v>
      </x:c>
      <x:c r="C78" s="20" t="s">
        <x:v>47</x:v>
      </x:c>
      <x:c r="D78" s="20" t="s">
        <x:v>48</x:v>
      </x:c>
      <x:c r="E78" s="20" t="s">
        <x:v>348</x:v>
      </x:c>
      <x:c r="F78" s="20" t="s">
        <x:v>165</x:v>
      </x:c>
      <x:c r="G78" s="20" t="s">
        <x:v>354</x:v>
      </x:c>
      <x:c r="H78" s="20" t="s">
        <x:v>174</x:v>
      </x:c>
      <x:c r="I78" s="20" t="s">
        <x:v>165</x:v>
      </x:c>
      <x:c r="J78" s="20" t="s">
        <x:v>166</x:v>
      </x:c>
      <x:c r="K78" s="20" t="s">
        <x:v>355</x:v>
      </x:c>
    </x:row>
    <x:row r="79" ht="35.04999923706055" hidden="0">
      <x:c r="A79" s="20" t="s">
        <x:v>356</x:v>
      </x:c>
      <x:c r="B79" s="20" t="n">
        <x:v>3</x:v>
      </x:c>
      <x:c r="C79" s="20" t="s">
        <x:v>51</x:v>
      </x:c>
      <x:c r="D79" s="20" t="s">
        <x:v>52</x:v>
      </x:c>
      <x:c r="E79" s="20" t="s">
        <x:v>357</x:v>
      </x:c>
      <x:c r="F79" s="20" t="s">
        <x:v>100</x:v>
      </x:c>
      <x:c r="G79" s="20"/>
      <x:c r="H79" s="20"/>
      <x:c r="I79" s="20" t="s">
        <x:v>100</x:v>
      </x:c>
      <x:c r="J79" s="20" t="s">
        <x:v>101</x:v>
      </x:c>
      <x:c r="K79" s="20" t="s">
        <x:v>358</x:v>
      </x:c>
    </x:row>
    <x:row r="80" ht="23.850000381469727" hidden="0">
      <x:c r="A80" s="20" t="s">
        <x:v>359</x:v>
      </x:c>
      <x:c r="B80" s="20" t="n">
        <x:v>4</x:v>
      </x:c>
      <x:c r="C80" s="20" t="s">
        <x:v>51</x:v>
      </x:c>
      <x:c r="D80" s="20" t="s">
        <x:v>52</x:v>
      </x:c>
      <x:c r="E80" s="20" t="s">
        <x:v>357</x:v>
      </x:c>
      <x:c r="F80" s="20" t="s">
        <x:v>100</x:v>
      </x:c>
      <x:c r="G80" s="20" t="s">
        <x:v>360</x:v>
      </x:c>
      <x:c r="H80" s="20" t="s">
        <x:v>105</x:v>
      </x:c>
      <x:c r="I80" s="20" t="s">
        <x:v>100</x:v>
      </x:c>
      <x:c r="J80" s="20" t="s">
        <x:v>101</x:v>
      </x:c>
      <x:c r="K80" s="20" t="s">
        <x:v>361</x:v>
      </x:c>
    </x:row>
    <x:row r="81" ht="23.850000381469727" hidden="0">
      <x:c r="A81" s="20" t="s">
        <x:v>362</x:v>
      </x:c>
      <x:c r="B81" s="20" t="n">
        <x:v>4</x:v>
      </x:c>
      <x:c r="C81" s="20" t="s">
        <x:v>51</x:v>
      </x:c>
      <x:c r="D81" s="20" t="s">
        <x:v>52</x:v>
      </x:c>
      <x:c r="E81" s="20" t="s">
        <x:v>357</x:v>
      </x:c>
      <x:c r="F81" s="20" t="s">
        <x:v>100</x:v>
      </x:c>
      <x:c r="G81" s="20" t="s">
        <x:v>363</x:v>
      </x:c>
      <x:c r="H81" s="20" t="s">
        <x:v>109</x:v>
      </x:c>
      <x:c r="I81" s="20" t="s">
        <x:v>100</x:v>
      </x:c>
      <x:c r="J81" s="20" t="s">
        <x:v>101</x:v>
      </x:c>
      <x:c r="K81" s="20" t="s">
        <x:v>364</x:v>
      </x:c>
    </x:row>
    <x:row r="82" ht="35.04999923706055" hidden="0">
      <x:c r="A82" s="20" t="s">
        <x:v>365</x:v>
      </x:c>
      <x:c r="B82" s="20" t="n">
        <x:v>3</x:v>
      </x:c>
      <x:c r="C82" s="20" t="s">
        <x:v>51</x:v>
      </x:c>
      <x:c r="D82" s="20" t="s">
        <x:v>52</x:v>
      </x:c>
      <x:c r="E82" s="20" t="s">
        <x:v>366</x:v>
      </x:c>
      <x:c r="F82" s="20" t="s">
        <x:v>113</x:v>
      </x:c>
      <x:c r="G82" s="20"/>
      <x:c r="H82" s="20"/>
      <x:c r="I82" s="20" t="s">
        <x:v>113</x:v>
      </x:c>
      <x:c r="J82" s="20" t="s">
        <x:v>114</x:v>
      </x:c>
      <x:c r="K82" s="20" t="s">
        <x:v>367</x:v>
      </x:c>
    </x:row>
    <x:row r="83" ht="23.850000381469727" hidden="0">
      <x:c r="A83" s="20" t="s">
        <x:v>368</x:v>
      </x:c>
      <x:c r="B83" s="20" t="n">
        <x:v>4</x:v>
      </x:c>
      <x:c r="C83" s="20" t="s">
        <x:v>51</x:v>
      </x:c>
      <x:c r="D83" s="20" t="s">
        <x:v>52</x:v>
      </x:c>
      <x:c r="E83" s="20" t="s">
        <x:v>366</x:v>
      </x:c>
      <x:c r="F83" s="20" t="s">
        <x:v>113</x:v>
      </x:c>
      <x:c r="G83" s="20" t="s">
        <x:v>369</x:v>
      </x:c>
      <x:c r="H83" s="20" t="s">
        <x:v>118</x:v>
      </x:c>
      <x:c r="I83" s="20" t="s">
        <x:v>113</x:v>
      </x:c>
      <x:c r="J83" s="20" t="s">
        <x:v>114</x:v>
      </x:c>
      <x:c r="K83" s="20" t="s">
        <x:v>370</x:v>
      </x:c>
    </x:row>
    <x:row r="84" ht="23.850000381469727" hidden="0">
      <x:c r="A84" s="20" t="s">
        <x:v>371</x:v>
      </x:c>
      <x:c r="B84" s="20" t="n">
        <x:v>4</x:v>
      </x:c>
      <x:c r="C84" s="20" t="s">
        <x:v>51</x:v>
      </x:c>
      <x:c r="D84" s="20" t="s">
        <x:v>52</x:v>
      </x:c>
      <x:c r="E84" s="20" t="s">
        <x:v>366</x:v>
      </x:c>
      <x:c r="F84" s="20" t="s">
        <x:v>113</x:v>
      </x:c>
      <x:c r="G84" s="20" t="s">
        <x:v>372</x:v>
      </x:c>
      <x:c r="H84" s="20" t="s">
        <x:v>122</x:v>
      </x:c>
      <x:c r="I84" s="20" t="s">
        <x:v>113</x:v>
      </x:c>
      <x:c r="J84" s="20" t="s">
        <x:v>114</x:v>
      </x:c>
      <x:c r="K84" s="20" t="s">
        <x:v>373</x:v>
      </x:c>
    </x:row>
    <x:row r="85" ht="23.850000381469727" hidden="0">
      <x:c r="A85" s="20" t="s">
        <x:v>374</x:v>
      </x:c>
      <x:c r="B85" s="20" t="n">
        <x:v>3</x:v>
      </x:c>
      <x:c r="C85" s="20" t="s">
        <x:v>51</x:v>
      </x:c>
      <x:c r="D85" s="20" t="s">
        <x:v>52</x:v>
      </x:c>
      <x:c r="E85" s="20" t="s">
        <x:v>375</x:v>
      </x:c>
      <x:c r="F85" s="20" t="s">
        <x:v>126</x:v>
      </x:c>
      <x:c r="G85" s="20"/>
      <x:c r="H85" s="20"/>
      <x:c r="I85" s="20" t="s">
        <x:v>126</x:v>
      </x:c>
      <x:c r="J85" s="20" t="s">
        <x:v>127</x:v>
      </x:c>
      <x:c r="K85" s="20" t="s">
        <x:v>376</x:v>
      </x:c>
    </x:row>
    <x:row r="86" ht="23.850000381469727" hidden="0">
      <x:c r="A86" s="20" t="s">
        <x:v>377</x:v>
      </x:c>
      <x:c r="B86" s="20" t="n">
        <x:v>4</x:v>
      </x:c>
      <x:c r="C86" s="20" t="s">
        <x:v>51</x:v>
      </x:c>
      <x:c r="D86" s="20" t="s">
        <x:v>52</x:v>
      </x:c>
      <x:c r="E86" s="20" t="s">
        <x:v>375</x:v>
      </x:c>
      <x:c r="F86" s="20" t="s">
        <x:v>126</x:v>
      </x:c>
      <x:c r="G86" s="20" t="s">
        <x:v>378</x:v>
      </x:c>
      <x:c r="H86" s="20" t="s">
        <x:v>131</x:v>
      </x:c>
      <x:c r="I86" s="20" t="s">
        <x:v>126</x:v>
      </x:c>
      <x:c r="J86" s="20" t="s">
        <x:v>127</x:v>
      </x:c>
      <x:c r="K86" s="20" t="s">
        <x:v>379</x:v>
      </x:c>
    </x:row>
    <x:row r="87" ht="23.850000381469727" hidden="0">
      <x:c r="A87" s="20" t="s">
        <x:v>380</x:v>
      </x:c>
      <x:c r="B87" s="20" t="n">
        <x:v>4</x:v>
      </x:c>
      <x:c r="C87" s="20" t="s">
        <x:v>51</x:v>
      </x:c>
      <x:c r="D87" s="20" t="s">
        <x:v>52</x:v>
      </x:c>
      <x:c r="E87" s="20" t="s">
        <x:v>375</x:v>
      </x:c>
      <x:c r="F87" s="20" t="s">
        <x:v>126</x:v>
      </x:c>
      <x:c r="G87" s="20" t="s">
        <x:v>381</x:v>
      </x:c>
      <x:c r="H87" s="20" t="s">
        <x:v>135</x:v>
      </x:c>
      <x:c r="I87" s="20" t="s">
        <x:v>126</x:v>
      </x:c>
      <x:c r="J87" s="20" t="s">
        <x:v>127</x:v>
      </x:c>
      <x:c r="K87" s="20" t="s">
        <x:v>382</x:v>
      </x:c>
    </x:row>
    <x:row r="88" ht="23.850000381469727" hidden="0">
      <x:c r="A88" s="20" t="s">
        <x:v>383</x:v>
      </x:c>
      <x:c r="B88" s="20" t="n">
        <x:v>3</x:v>
      </x:c>
      <x:c r="C88" s="20" t="s">
        <x:v>51</x:v>
      </x:c>
      <x:c r="D88" s="20" t="s">
        <x:v>52</x:v>
      </x:c>
      <x:c r="E88" s="20" t="s">
        <x:v>384</x:v>
      </x:c>
      <x:c r="F88" s="20" t="s">
        <x:v>139</x:v>
      </x:c>
      <x:c r="G88" s="20"/>
      <x:c r="H88" s="20"/>
      <x:c r="I88" s="20" t="s">
        <x:v>139</x:v>
      </x:c>
      <x:c r="J88" s="20" t="s">
        <x:v>140</x:v>
      </x:c>
      <x:c r="K88" s="20" t="s">
        <x:v>385</x:v>
      </x:c>
    </x:row>
    <x:row r="89" ht="23.850000381469727" hidden="0">
      <x:c r="A89" s="20" t="s">
        <x:v>386</x:v>
      </x:c>
      <x:c r="B89" s="20" t="n">
        <x:v>4</x:v>
      </x:c>
      <x:c r="C89" s="20" t="s">
        <x:v>51</x:v>
      </x:c>
      <x:c r="D89" s="20" t="s">
        <x:v>52</x:v>
      </x:c>
      <x:c r="E89" s="20" t="s">
        <x:v>384</x:v>
      </x:c>
      <x:c r="F89" s="20" t="s">
        <x:v>139</x:v>
      </x:c>
      <x:c r="G89" s="20" t="s">
        <x:v>387</x:v>
      </x:c>
      <x:c r="H89" s="20" t="s">
        <x:v>388</x:v>
      </x:c>
      <x:c r="I89" s="20" t="s">
        <x:v>139</x:v>
      </x:c>
      <x:c r="J89" s="20" t="s">
        <x:v>140</x:v>
      </x:c>
      <x:c r="K89" s="20" t="s">
        <x:v>389</x:v>
      </x:c>
    </x:row>
    <x:row r="90" ht="23.850000381469727" hidden="0">
      <x:c r="A90" s="20" t="s">
        <x:v>390</x:v>
      </x:c>
      <x:c r="B90" s="20" t="n">
        <x:v>4</x:v>
      </x:c>
      <x:c r="C90" s="20" t="s">
        <x:v>51</x:v>
      </x:c>
      <x:c r="D90" s="20" t="s">
        <x:v>52</x:v>
      </x:c>
      <x:c r="E90" s="20" t="s">
        <x:v>384</x:v>
      </x:c>
      <x:c r="F90" s="20" t="s">
        <x:v>139</x:v>
      </x:c>
      <x:c r="G90" s="20" t="s">
        <x:v>391</x:v>
      </x:c>
      <x:c r="H90" s="20" t="s">
        <x:v>392</x:v>
      </x:c>
      <x:c r="I90" s="20" t="s">
        <x:v>139</x:v>
      </x:c>
      <x:c r="J90" s="20" t="s">
        <x:v>140</x:v>
      </x:c>
      <x:c r="K90" s="20" t="s">
        <x:v>393</x:v>
      </x:c>
    </x:row>
    <x:row r="91" ht="23.850000381469727" hidden="0">
      <x:c r="A91" s="20" t="s">
        <x:v>394</x:v>
      </x:c>
      <x:c r="B91" s="20" t="n">
        <x:v>4</x:v>
      </x:c>
      <x:c r="C91" s="20" t="s">
        <x:v>51</x:v>
      </x:c>
      <x:c r="D91" s="20" t="s">
        <x:v>52</x:v>
      </x:c>
      <x:c r="E91" s="20" t="s">
        <x:v>384</x:v>
      </x:c>
      <x:c r="F91" s="20" t="s">
        <x:v>139</x:v>
      </x:c>
      <x:c r="G91" s="20" t="s">
        <x:v>395</x:v>
      </x:c>
      <x:c r="H91" s="20" t="s">
        <x:v>396</x:v>
      </x:c>
      <x:c r="I91" s="20" t="s">
        <x:v>139</x:v>
      </x:c>
      <x:c r="J91" s="20" t="s">
        <x:v>140</x:v>
      </x:c>
      <x:c r="K91" s="20" t="s">
        <x:v>397</x:v>
      </x:c>
    </x:row>
    <x:row r="92" ht="35.04999923706055" hidden="0">
      <x:c r="A92" s="20" t="s">
        <x:v>398</x:v>
      </x:c>
      <x:c r="B92" s="20" t="n">
        <x:v>3</x:v>
      </x:c>
      <x:c r="C92" s="20" t="s">
        <x:v>51</x:v>
      </x:c>
      <x:c r="D92" s="20" t="s">
        <x:v>52</x:v>
      </x:c>
      <x:c r="E92" s="20" t="s">
        <x:v>399</x:v>
      </x:c>
      <x:c r="F92" s="20" t="s">
        <x:v>156</x:v>
      </x:c>
      <x:c r="G92" s="20"/>
      <x:c r="H92" s="20"/>
      <x:c r="I92" s="20" t="s">
        <x:v>156</x:v>
      </x:c>
      <x:c r="J92" s="20" t="s">
        <x:v>157</x:v>
      </x:c>
      <x:c r="K92" s="20" t="s">
        <x:v>400</x:v>
      </x:c>
    </x:row>
    <x:row r="93" ht="23.850000381469727" hidden="0">
      <x:c r="A93" s="20" t="s">
        <x:v>401</x:v>
      </x:c>
      <x:c r="B93" s="20" t="n">
        <x:v>4</x:v>
      </x:c>
      <x:c r="C93" s="20" t="s">
        <x:v>51</x:v>
      </x:c>
      <x:c r="D93" s="20" t="s">
        <x:v>52</x:v>
      </x:c>
      <x:c r="E93" s="20" t="s">
        <x:v>399</x:v>
      </x:c>
      <x:c r="F93" s="20" t="s">
        <x:v>156</x:v>
      </x:c>
      <x:c r="G93" s="20" t="s">
        <x:v>402</x:v>
      </x:c>
      <x:c r="H93" s="20" t="s">
        <x:v>161</x:v>
      </x:c>
      <x:c r="I93" s="20" t="s">
        <x:v>156</x:v>
      </x:c>
      <x:c r="J93" s="20" t="s">
        <x:v>157</x:v>
      </x:c>
      <x:c r="K93" s="20" t="s">
        <x:v>403</x:v>
      </x:c>
    </x:row>
    <x:row r="94" ht="35.04999923706055" hidden="0">
      <x:c r="A94" s="20" t="s">
        <x:v>404</x:v>
      </x:c>
      <x:c r="B94" s="20" t="n">
        <x:v>3</x:v>
      </x:c>
      <x:c r="C94" s="20" t="s">
        <x:v>51</x:v>
      </x:c>
      <x:c r="D94" s="20" t="s">
        <x:v>52</x:v>
      </x:c>
      <x:c r="E94" s="20" t="s">
        <x:v>405</x:v>
      </x:c>
      <x:c r="F94" s="20" t="s">
        <x:v>165</x:v>
      </x:c>
      <x:c r="G94" s="20"/>
      <x:c r="H94" s="20"/>
      <x:c r="I94" s="20" t="s">
        <x:v>165</x:v>
      </x:c>
      <x:c r="J94" s="20" t="s">
        <x:v>166</x:v>
      </x:c>
      <x:c r="K94" s="20" t="s">
        <x:v>406</x:v>
      </x:c>
    </x:row>
    <x:row r="95" ht="23.850000381469727" hidden="0">
      <x:c r="A95" s="20" t="s">
        <x:v>407</x:v>
      </x:c>
      <x:c r="B95" s="20" t="n">
        <x:v>4</x:v>
      </x:c>
      <x:c r="C95" s="20" t="s">
        <x:v>51</x:v>
      </x:c>
      <x:c r="D95" s="20" t="s">
        <x:v>52</x:v>
      </x:c>
      <x:c r="E95" s="20" t="s">
        <x:v>405</x:v>
      </x:c>
      <x:c r="F95" s="20" t="s">
        <x:v>165</x:v>
      </x:c>
      <x:c r="G95" s="20" t="s">
        <x:v>408</x:v>
      </x:c>
      <x:c r="H95" s="20" t="s">
        <x:v>170</x:v>
      </x:c>
      <x:c r="I95" s="20" t="s">
        <x:v>165</x:v>
      </x:c>
      <x:c r="J95" s="20" t="s">
        <x:v>166</x:v>
      </x:c>
      <x:c r="K95" s="20" t="s">
        <x:v>409</x:v>
      </x:c>
    </x:row>
    <x:row r="96" ht="23.850000381469727" hidden="0">
      <x:c r="A96" s="20" t="s">
        <x:v>410</x:v>
      </x:c>
      <x:c r="B96" s="20" t="n">
        <x:v>4</x:v>
      </x:c>
      <x:c r="C96" s="20" t="s">
        <x:v>51</x:v>
      </x:c>
      <x:c r="D96" s="20" t="s">
        <x:v>52</x:v>
      </x:c>
      <x:c r="E96" s="20" t="s">
        <x:v>405</x:v>
      </x:c>
      <x:c r="F96" s="20" t="s">
        <x:v>165</x:v>
      </x:c>
      <x:c r="G96" s="20" t="s">
        <x:v>411</x:v>
      </x:c>
      <x:c r="H96" s="20" t="s">
        <x:v>174</x:v>
      </x:c>
      <x:c r="I96" s="20" t="s">
        <x:v>165</x:v>
      </x:c>
      <x:c r="J96" s="20" t="s">
        <x:v>166</x:v>
      </x:c>
      <x:c r="K96" s="20" t="s">
        <x:v>412</x:v>
      </x:c>
    </x:row>
    <x:row r="97" ht="35.04999923706055" hidden="0">
      <x:c r="A97" s="20" t="s">
        <x:v>413</x:v>
      </x:c>
      <x:c r="B97" s="20" t="n">
        <x:v>3</x:v>
      </x:c>
      <x:c r="C97" s="20" t="s">
        <x:v>54</x:v>
      </x:c>
      <x:c r="D97" s="20" t="s">
        <x:v>55</x:v>
      </x:c>
      <x:c r="E97" s="20" t="s">
        <x:v>414</x:v>
      </x:c>
      <x:c r="F97" s="20" t="s">
        <x:v>100</x:v>
      </x:c>
      <x:c r="G97" s="20"/>
      <x:c r="H97" s="20"/>
      <x:c r="I97" s="20" t="s">
        <x:v>100</x:v>
      </x:c>
      <x:c r="J97" s="20" t="s">
        <x:v>101</x:v>
      </x:c>
      <x:c r="K97" s="20" t="s">
        <x:v>415</x:v>
      </x:c>
    </x:row>
    <x:row r="98" ht="23.850000381469727" hidden="0">
      <x:c r="A98" s="20" t="s">
        <x:v>416</x:v>
      </x:c>
      <x:c r="B98" s="20" t="n">
        <x:v>4</x:v>
      </x:c>
      <x:c r="C98" s="20" t="s">
        <x:v>54</x:v>
      </x:c>
      <x:c r="D98" s="20" t="s">
        <x:v>55</x:v>
      </x:c>
      <x:c r="E98" s="20" t="s">
        <x:v>414</x:v>
      </x:c>
      <x:c r="F98" s="20" t="s">
        <x:v>100</x:v>
      </x:c>
      <x:c r="G98" s="20" t="s">
        <x:v>417</x:v>
      </x:c>
      <x:c r="H98" s="20" t="s">
        <x:v>105</x:v>
      </x:c>
      <x:c r="I98" s="20" t="s">
        <x:v>100</x:v>
      </x:c>
      <x:c r="J98" s="20" t="s">
        <x:v>101</x:v>
      </x:c>
      <x:c r="K98" s="20" t="s">
        <x:v>418</x:v>
      </x:c>
    </x:row>
    <x:row r="99" ht="23.850000381469727" hidden="0">
      <x:c r="A99" s="20" t="s">
        <x:v>419</x:v>
      </x:c>
      <x:c r="B99" s="20" t="n">
        <x:v>4</x:v>
      </x:c>
      <x:c r="C99" s="20" t="s">
        <x:v>54</x:v>
      </x:c>
      <x:c r="D99" s="20" t="s">
        <x:v>55</x:v>
      </x:c>
      <x:c r="E99" s="20" t="s">
        <x:v>414</x:v>
      </x:c>
      <x:c r="F99" s="20" t="s">
        <x:v>100</x:v>
      </x:c>
      <x:c r="G99" s="20" t="s">
        <x:v>420</x:v>
      </x:c>
      <x:c r="H99" s="20" t="s">
        <x:v>109</x:v>
      </x:c>
      <x:c r="I99" s="20" t="s">
        <x:v>100</x:v>
      </x:c>
      <x:c r="J99" s="20" t="s">
        <x:v>101</x:v>
      </x:c>
      <x:c r="K99" s="20" t="s">
        <x:v>421</x:v>
      </x:c>
    </x:row>
    <x:row r="100" ht="35.04999923706055" hidden="0">
      <x:c r="A100" s="20" t="s">
        <x:v>422</x:v>
      </x:c>
      <x:c r="B100" s="20" t="n">
        <x:v>3</x:v>
      </x:c>
      <x:c r="C100" s="20" t="s">
        <x:v>54</x:v>
      </x:c>
      <x:c r="D100" s="20" t="s">
        <x:v>55</x:v>
      </x:c>
      <x:c r="E100" s="20" t="s">
        <x:v>423</x:v>
      </x:c>
      <x:c r="F100" s="20" t="s">
        <x:v>113</x:v>
      </x:c>
      <x:c r="G100" s="20"/>
      <x:c r="H100" s="20"/>
      <x:c r="I100" s="20" t="s">
        <x:v>113</x:v>
      </x:c>
      <x:c r="J100" s="20" t="s">
        <x:v>114</x:v>
      </x:c>
      <x:c r="K100" s="20" t="s">
        <x:v>424</x:v>
      </x:c>
    </x:row>
    <x:row r="101" ht="23.850000381469727" hidden="0">
      <x:c r="A101" s="20" t="s">
        <x:v>425</x:v>
      </x:c>
      <x:c r="B101" s="20" t="n">
        <x:v>4</x:v>
      </x:c>
      <x:c r="C101" s="20" t="s">
        <x:v>54</x:v>
      </x:c>
      <x:c r="D101" s="20" t="s">
        <x:v>55</x:v>
      </x:c>
      <x:c r="E101" s="20" t="s">
        <x:v>423</x:v>
      </x:c>
      <x:c r="F101" s="20" t="s">
        <x:v>113</x:v>
      </x:c>
      <x:c r="G101" s="20" t="s">
        <x:v>426</x:v>
      </x:c>
      <x:c r="H101" s="20" t="s">
        <x:v>118</x:v>
      </x:c>
      <x:c r="I101" s="20" t="s">
        <x:v>113</x:v>
      </x:c>
      <x:c r="J101" s="20" t="s">
        <x:v>114</x:v>
      </x:c>
      <x:c r="K101" s="20" t="s">
        <x:v>427</x:v>
      </x:c>
    </x:row>
    <x:row r="102" ht="23.850000381469727" hidden="0">
      <x:c r="A102" s="20" t="s">
        <x:v>428</x:v>
      </x:c>
      <x:c r="B102" s="20" t="n">
        <x:v>4</x:v>
      </x:c>
      <x:c r="C102" s="20" t="s">
        <x:v>54</x:v>
      </x:c>
      <x:c r="D102" s="20" t="s">
        <x:v>55</x:v>
      </x:c>
      <x:c r="E102" s="20" t="s">
        <x:v>423</x:v>
      </x:c>
      <x:c r="F102" s="20" t="s">
        <x:v>113</x:v>
      </x:c>
      <x:c r="G102" s="20" t="s">
        <x:v>429</x:v>
      </x:c>
      <x:c r="H102" s="20" t="s">
        <x:v>122</x:v>
      </x:c>
      <x:c r="I102" s="20" t="s">
        <x:v>113</x:v>
      </x:c>
      <x:c r="J102" s="20" t="s">
        <x:v>114</x:v>
      </x:c>
      <x:c r="K102" s="20" t="s">
        <x:v>430</x:v>
      </x:c>
    </x:row>
    <x:row r="103" ht="23.850000381469727" hidden="0">
      <x:c r="A103" s="20" t="s">
        <x:v>431</x:v>
      </x:c>
      <x:c r="B103" s="20" t="n">
        <x:v>3</x:v>
      </x:c>
      <x:c r="C103" s="20" t="s">
        <x:v>54</x:v>
      </x:c>
      <x:c r="D103" s="20" t="s">
        <x:v>55</x:v>
      </x:c>
      <x:c r="E103" s="20" t="s">
        <x:v>432</x:v>
      </x:c>
      <x:c r="F103" s="20" t="s">
        <x:v>126</x:v>
      </x:c>
      <x:c r="G103" s="20"/>
      <x:c r="H103" s="20"/>
      <x:c r="I103" s="20" t="s">
        <x:v>126</x:v>
      </x:c>
      <x:c r="J103" s="20" t="s">
        <x:v>127</x:v>
      </x:c>
      <x:c r="K103" s="20" t="s">
        <x:v>433</x:v>
      </x:c>
    </x:row>
    <x:row r="104" ht="23.850000381469727" hidden="0">
      <x:c r="A104" s="20" t="s">
        <x:v>434</x:v>
      </x:c>
      <x:c r="B104" s="20" t="n">
        <x:v>4</x:v>
      </x:c>
      <x:c r="C104" s="20" t="s">
        <x:v>54</x:v>
      </x:c>
      <x:c r="D104" s="20" t="s">
        <x:v>55</x:v>
      </x:c>
      <x:c r="E104" s="20" t="s">
        <x:v>432</x:v>
      </x:c>
      <x:c r="F104" s="20" t="s">
        <x:v>126</x:v>
      </x:c>
      <x:c r="G104" s="20" t="s">
        <x:v>435</x:v>
      </x:c>
      <x:c r="H104" s="20" t="s">
        <x:v>131</x:v>
      </x:c>
      <x:c r="I104" s="20" t="s">
        <x:v>126</x:v>
      </x:c>
      <x:c r="J104" s="20" t="s">
        <x:v>127</x:v>
      </x:c>
      <x:c r="K104" s="20" t="s">
        <x:v>436</x:v>
      </x:c>
    </x:row>
    <x:row r="105" ht="23.850000381469727" hidden="0">
      <x:c r="A105" s="20" t="s">
        <x:v>437</x:v>
      </x:c>
      <x:c r="B105" s="20" t="n">
        <x:v>4</x:v>
      </x:c>
      <x:c r="C105" s="20" t="s">
        <x:v>54</x:v>
      </x:c>
      <x:c r="D105" s="20" t="s">
        <x:v>55</x:v>
      </x:c>
      <x:c r="E105" s="20" t="s">
        <x:v>432</x:v>
      </x:c>
      <x:c r="F105" s="20" t="s">
        <x:v>126</x:v>
      </x:c>
      <x:c r="G105" s="20" t="s">
        <x:v>438</x:v>
      </x:c>
      <x:c r="H105" s="20" t="s">
        <x:v>135</x:v>
      </x:c>
      <x:c r="I105" s="20" t="s">
        <x:v>126</x:v>
      </x:c>
      <x:c r="J105" s="20" t="s">
        <x:v>127</x:v>
      </x:c>
      <x:c r="K105" s="20" t="s">
        <x:v>439</x:v>
      </x:c>
    </x:row>
    <x:row r="106" ht="23.850000381469727" hidden="0">
      <x:c r="A106" s="20" t="s">
        <x:v>440</x:v>
      </x:c>
      <x:c r="B106" s="20" t="n">
        <x:v>3</x:v>
      </x:c>
      <x:c r="C106" s="20" t="s">
        <x:v>54</x:v>
      </x:c>
      <x:c r="D106" s="20" t="s">
        <x:v>55</x:v>
      </x:c>
      <x:c r="E106" s="20" t="s">
        <x:v>441</x:v>
      </x:c>
      <x:c r="F106" s="20" t="s">
        <x:v>139</x:v>
      </x:c>
      <x:c r="G106" s="20"/>
      <x:c r="H106" s="20"/>
      <x:c r="I106" s="20" t="s">
        <x:v>139</x:v>
      </x:c>
      <x:c r="J106" s="20" t="s">
        <x:v>140</x:v>
      </x:c>
      <x:c r="K106" s="20" t="s">
        <x:v>442</x:v>
      </x:c>
    </x:row>
    <x:row r="107" ht="23.850000381469727" hidden="0">
      <x:c r="A107" s="20" t="s">
        <x:v>443</x:v>
      </x:c>
      <x:c r="B107" s="20" t="n">
        <x:v>4</x:v>
      </x:c>
      <x:c r="C107" s="20" t="s">
        <x:v>54</x:v>
      </x:c>
      <x:c r="D107" s="20" t="s">
        <x:v>55</x:v>
      </x:c>
      <x:c r="E107" s="20" t="s">
        <x:v>441</x:v>
      </x:c>
      <x:c r="F107" s="20" t="s">
        <x:v>139</x:v>
      </x:c>
      <x:c r="G107" s="20" t="s">
        <x:v>444</x:v>
      </x:c>
      <x:c r="H107" s="20" t="s">
        <x:v>445</x:v>
      </x:c>
      <x:c r="I107" s="20" t="s">
        <x:v>139</x:v>
      </x:c>
      <x:c r="J107" s="20" t="s">
        <x:v>140</x:v>
      </x:c>
      <x:c r="K107" s="20" t="s">
        <x:v>446</x:v>
      </x:c>
    </x:row>
    <x:row r="108" ht="23.850000381469727" hidden="0">
      <x:c r="A108" s="20" t="s">
        <x:v>447</x:v>
      </x:c>
      <x:c r="B108" s="20" t="n">
        <x:v>4</x:v>
      </x:c>
      <x:c r="C108" s="20" t="s">
        <x:v>54</x:v>
      </x:c>
      <x:c r="D108" s="20" t="s">
        <x:v>55</x:v>
      </x:c>
      <x:c r="E108" s="20" t="s">
        <x:v>441</x:v>
      </x:c>
      <x:c r="F108" s="20" t="s">
        <x:v>139</x:v>
      </x:c>
      <x:c r="G108" s="20" t="s">
        <x:v>448</x:v>
      </x:c>
      <x:c r="H108" s="20" t="s">
        <x:v>449</x:v>
      </x:c>
      <x:c r="I108" s="20" t="s">
        <x:v>139</x:v>
      </x:c>
      <x:c r="J108" s="20" t="s">
        <x:v>140</x:v>
      </x:c>
      <x:c r="K108" s="20" t="s">
        <x:v>450</x:v>
      </x:c>
    </x:row>
    <x:row r="109" ht="23.850000381469727" hidden="0">
      <x:c r="A109" s="20" t="s">
        <x:v>451</x:v>
      </x:c>
      <x:c r="B109" s="20" t="n">
        <x:v>4</x:v>
      </x:c>
      <x:c r="C109" s="20" t="s">
        <x:v>54</x:v>
      </x:c>
      <x:c r="D109" s="20" t="s">
        <x:v>55</x:v>
      </x:c>
      <x:c r="E109" s="20" t="s">
        <x:v>441</x:v>
      </x:c>
      <x:c r="F109" s="20" t="s">
        <x:v>139</x:v>
      </x:c>
      <x:c r="G109" s="20" t="s">
        <x:v>452</x:v>
      </x:c>
      <x:c r="H109" s="20" t="s">
        <x:v>453</x:v>
      </x:c>
      <x:c r="I109" s="20" t="s">
        <x:v>139</x:v>
      </x:c>
      <x:c r="J109" s="20" t="s">
        <x:v>140</x:v>
      </x:c>
      <x:c r="K109" s="20" t="s">
        <x:v>454</x:v>
      </x:c>
    </x:row>
    <x:row r="110" ht="35.04999923706055" hidden="0">
      <x:c r="A110" s="20" t="s">
        <x:v>455</x:v>
      </x:c>
      <x:c r="B110" s="20" t="n">
        <x:v>3</x:v>
      </x:c>
      <x:c r="C110" s="20" t="s">
        <x:v>54</x:v>
      </x:c>
      <x:c r="D110" s="20" t="s">
        <x:v>55</x:v>
      </x:c>
      <x:c r="E110" s="20" t="s">
        <x:v>456</x:v>
      </x:c>
      <x:c r="F110" s="20" t="s">
        <x:v>156</x:v>
      </x:c>
      <x:c r="G110" s="20"/>
      <x:c r="H110" s="20"/>
      <x:c r="I110" s="20" t="s">
        <x:v>156</x:v>
      </x:c>
      <x:c r="J110" s="20" t="s">
        <x:v>157</x:v>
      </x:c>
      <x:c r="K110" s="20" t="s">
        <x:v>457</x:v>
      </x:c>
    </x:row>
    <x:row r="111" ht="23.850000381469727" hidden="0">
      <x:c r="A111" s="20" t="s">
        <x:v>458</x:v>
      </x:c>
      <x:c r="B111" s="20" t="n">
        <x:v>4</x:v>
      </x:c>
      <x:c r="C111" s="20" t="s">
        <x:v>54</x:v>
      </x:c>
      <x:c r="D111" s="20" t="s">
        <x:v>55</x:v>
      </x:c>
      <x:c r="E111" s="20" t="s">
        <x:v>456</x:v>
      </x:c>
      <x:c r="F111" s="20" t="s">
        <x:v>156</x:v>
      </x:c>
      <x:c r="G111" s="20" t="s">
        <x:v>459</x:v>
      </x:c>
      <x:c r="H111" s="20" t="s">
        <x:v>161</x:v>
      </x:c>
      <x:c r="I111" s="20" t="s">
        <x:v>156</x:v>
      </x:c>
      <x:c r="J111" s="20" t="s">
        <x:v>157</x:v>
      </x:c>
      <x:c r="K111" s="20" t="s">
        <x:v>460</x:v>
      </x:c>
    </x:row>
    <x:row r="112" ht="35.04999923706055" hidden="0">
      <x:c r="A112" s="20" t="s">
        <x:v>461</x:v>
      </x:c>
      <x:c r="B112" s="20" t="n">
        <x:v>3</x:v>
      </x:c>
      <x:c r="C112" s="20" t="s">
        <x:v>54</x:v>
      </x:c>
      <x:c r="D112" s="20" t="s">
        <x:v>55</x:v>
      </x:c>
      <x:c r="E112" s="20" t="s">
        <x:v>462</x:v>
      </x:c>
      <x:c r="F112" s="20" t="s">
        <x:v>165</x:v>
      </x:c>
      <x:c r="G112" s="20"/>
      <x:c r="H112" s="20"/>
      <x:c r="I112" s="20" t="s">
        <x:v>165</x:v>
      </x:c>
      <x:c r="J112" s="20" t="s">
        <x:v>166</x:v>
      </x:c>
      <x:c r="K112" s="20" t="s">
        <x:v>463</x:v>
      </x:c>
    </x:row>
    <x:row r="113" ht="23.850000381469727" hidden="0">
      <x:c r="A113" s="20" t="s">
        <x:v>464</x:v>
      </x:c>
      <x:c r="B113" s="20" t="n">
        <x:v>4</x:v>
      </x:c>
      <x:c r="C113" s="20" t="s">
        <x:v>54</x:v>
      </x:c>
      <x:c r="D113" s="20" t="s">
        <x:v>55</x:v>
      </x:c>
      <x:c r="E113" s="20" t="s">
        <x:v>462</x:v>
      </x:c>
      <x:c r="F113" s="20" t="s">
        <x:v>165</x:v>
      </x:c>
      <x:c r="G113" s="20" t="s">
        <x:v>465</x:v>
      </x:c>
      <x:c r="H113" s="20" t="s">
        <x:v>170</x:v>
      </x:c>
      <x:c r="I113" s="20" t="s">
        <x:v>165</x:v>
      </x:c>
      <x:c r="J113" s="20" t="s">
        <x:v>166</x:v>
      </x:c>
      <x:c r="K113" s="20" t="s">
        <x:v>466</x:v>
      </x:c>
    </x:row>
    <x:row r="114" ht="23.850000381469727" hidden="0">
      <x:c r="A114" s="20" t="s">
        <x:v>467</x:v>
      </x:c>
      <x:c r="B114" s="20" t="n">
        <x:v>4</x:v>
      </x:c>
      <x:c r="C114" s="20" t="s">
        <x:v>54</x:v>
      </x:c>
      <x:c r="D114" s="20" t="s">
        <x:v>55</x:v>
      </x:c>
      <x:c r="E114" s="20" t="s">
        <x:v>462</x:v>
      </x:c>
      <x:c r="F114" s="20" t="s">
        <x:v>165</x:v>
      </x:c>
      <x:c r="G114" s="20" t="s">
        <x:v>468</x:v>
      </x:c>
      <x:c r="H114" s="20" t="s">
        <x:v>174</x:v>
      </x:c>
      <x:c r="I114" s="20" t="s">
        <x:v>165</x:v>
      </x:c>
      <x:c r="J114" s="20" t="s">
        <x:v>166</x:v>
      </x:c>
      <x:c r="K114" s="20" t="s">
        <x:v>469</x:v>
      </x:c>
    </x:row>
    <x:row r="115" ht="35.04999923706055" hidden="0">
      <x:c r="A115" s="20" t="s">
        <x:v>470</x:v>
      </x:c>
      <x:c r="B115" s="20" t="n">
        <x:v>3</x:v>
      </x:c>
      <x:c r="C115" s="20" t="s">
        <x:v>58</x:v>
      </x:c>
      <x:c r="D115" s="20" t="s">
        <x:v>59</x:v>
      </x:c>
      <x:c r="E115" s="20" t="s">
        <x:v>471</x:v>
      </x:c>
      <x:c r="F115" s="20" t="s">
        <x:v>100</x:v>
      </x:c>
      <x:c r="G115" s="20"/>
      <x:c r="H115" s="20"/>
      <x:c r="I115" s="20" t="s">
        <x:v>100</x:v>
      </x:c>
      <x:c r="J115" s="20" t="s">
        <x:v>101</x:v>
      </x:c>
      <x:c r="K115" s="20" t="s">
        <x:v>472</x:v>
      </x:c>
    </x:row>
    <x:row r="116" ht="23.850000381469727" hidden="0">
      <x:c r="A116" s="20" t="s">
        <x:v>473</x:v>
      </x:c>
      <x:c r="B116" s="20" t="n">
        <x:v>4</x:v>
      </x:c>
      <x:c r="C116" s="20" t="s">
        <x:v>58</x:v>
      </x:c>
      <x:c r="D116" s="20" t="s">
        <x:v>59</x:v>
      </x:c>
      <x:c r="E116" s="20" t="s">
        <x:v>471</x:v>
      </x:c>
      <x:c r="F116" s="20" t="s">
        <x:v>100</x:v>
      </x:c>
      <x:c r="G116" s="20" t="s">
        <x:v>474</x:v>
      </x:c>
      <x:c r="H116" s="20" t="s">
        <x:v>105</x:v>
      </x:c>
      <x:c r="I116" s="20" t="s">
        <x:v>100</x:v>
      </x:c>
      <x:c r="J116" s="20" t="s">
        <x:v>101</x:v>
      </x:c>
      <x:c r="K116" s="20" t="s">
        <x:v>475</x:v>
      </x:c>
    </x:row>
    <x:row r="117" ht="23.850000381469727" hidden="0">
      <x:c r="A117" s="20" t="s">
        <x:v>476</x:v>
      </x:c>
      <x:c r="B117" s="20" t="n">
        <x:v>4</x:v>
      </x:c>
      <x:c r="C117" s="20" t="s">
        <x:v>58</x:v>
      </x:c>
      <x:c r="D117" s="20" t="s">
        <x:v>59</x:v>
      </x:c>
      <x:c r="E117" s="20" t="s">
        <x:v>471</x:v>
      </x:c>
      <x:c r="F117" s="20" t="s">
        <x:v>100</x:v>
      </x:c>
      <x:c r="G117" s="20" t="s">
        <x:v>477</x:v>
      </x:c>
      <x:c r="H117" s="20" t="s">
        <x:v>109</x:v>
      </x:c>
      <x:c r="I117" s="20" t="s">
        <x:v>100</x:v>
      </x:c>
      <x:c r="J117" s="20" t="s">
        <x:v>101</x:v>
      </x:c>
      <x:c r="K117" s="20" t="s">
        <x:v>478</x:v>
      </x:c>
    </x:row>
    <x:row r="118" ht="35.04999923706055" hidden="0">
      <x:c r="A118" s="20" t="s">
        <x:v>479</x:v>
      </x:c>
      <x:c r="B118" s="20" t="n">
        <x:v>3</x:v>
      </x:c>
      <x:c r="C118" s="20" t="s">
        <x:v>58</x:v>
      </x:c>
      <x:c r="D118" s="20" t="s">
        <x:v>59</x:v>
      </x:c>
      <x:c r="E118" s="20" t="s">
        <x:v>480</x:v>
      </x:c>
      <x:c r="F118" s="20" t="s">
        <x:v>113</x:v>
      </x:c>
      <x:c r="G118" s="20"/>
      <x:c r="H118" s="20"/>
      <x:c r="I118" s="20" t="s">
        <x:v>113</x:v>
      </x:c>
      <x:c r="J118" s="20" t="s">
        <x:v>114</x:v>
      </x:c>
      <x:c r="K118" s="20" t="s">
        <x:v>481</x:v>
      </x:c>
    </x:row>
    <x:row r="119" ht="23.850000381469727" hidden="0">
      <x:c r="A119" s="20" t="s">
        <x:v>482</x:v>
      </x:c>
      <x:c r="B119" s="20" t="n">
        <x:v>4</x:v>
      </x:c>
      <x:c r="C119" s="20" t="s">
        <x:v>58</x:v>
      </x:c>
      <x:c r="D119" s="20" t="s">
        <x:v>59</x:v>
      </x:c>
      <x:c r="E119" s="20" t="s">
        <x:v>480</x:v>
      </x:c>
      <x:c r="F119" s="20" t="s">
        <x:v>113</x:v>
      </x:c>
      <x:c r="G119" s="20" t="s">
        <x:v>483</x:v>
      </x:c>
      <x:c r="H119" s="20" t="s">
        <x:v>118</x:v>
      </x:c>
      <x:c r="I119" s="20" t="s">
        <x:v>113</x:v>
      </x:c>
      <x:c r="J119" s="20" t="s">
        <x:v>114</x:v>
      </x:c>
      <x:c r="K119" s="20" t="s">
        <x:v>484</x:v>
      </x:c>
    </x:row>
    <x:row r="120" ht="23.850000381469727" hidden="0">
      <x:c r="A120" s="20" t="s">
        <x:v>485</x:v>
      </x:c>
      <x:c r="B120" s="20" t="n">
        <x:v>4</x:v>
      </x:c>
      <x:c r="C120" s="20" t="s">
        <x:v>58</x:v>
      </x:c>
      <x:c r="D120" s="20" t="s">
        <x:v>59</x:v>
      </x:c>
      <x:c r="E120" s="20" t="s">
        <x:v>480</x:v>
      </x:c>
      <x:c r="F120" s="20" t="s">
        <x:v>113</x:v>
      </x:c>
      <x:c r="G120" s="20" t="s">
        <x:v>486</x:v>
      </x:c>
      <x:c r="H120" s="20" t="s">
        <x:v>122</x:v>
      </x:c>
      <x:c r="I120" s="20" t="s">
        <x:v>113</x:v>
      </x:c>
      <x:c r="J120" s="20" t="s">
        <x:v>114</x:v>
      </x:c>
      <x:c r="K120" s="20" t="s">
        <x:v>487</x:v>
      </x:c>
    </x:row>
    <x:row r="121" ht="35.04999923706055" hidden="0">
      <x:c r="A121" s="20" t="s">
        <x:v>488</x:v>
      </x:c>
      <x:c r="B121" s="20" t="n">
        <x:v>3</x:v>
      </x:c>
      <x:c r="C121" s="20" t="s">
        <x:v>58</x:v>
      </x:c>
      <x:c r="D121" s="20" t="s">
        <x:v>59</x:v>
      </x:c>
      <x:c r="E121" s="20" t="s">
        <x:v>489</x:v>
      </x:c>
      <x:c r="F121" s="20" t="s">
        <x:v>126</x:v>
      </x:c>
      <x:c r="G121" s="20"/>
      <x:c r="H121" s="20"/>
      <x:c r="I121" s="20" t="s">
        <x:v>126</x:v>
      </x:c>
      <x:c r="J121" s="20" t="s">
        <x:v>127</x:v>
      </x:c>
      <x:c r="K121" s="20" t="s">
        <x:v>490</x:v>
      </x:c>
    </x:row>
    <x:row r="122" ht="23.850000381469727" hidden="0">
      <x:c r="A122" s="20" t="s">
        <x:v>491</x:v>
      </x:c>
      <x:c r="B122" s="20" t="n">
        <x:v>4</x:v>
      </x:c>
      <x:c r="C122" s="20" t="s">
        <x:v>58</x:v>
      </x:c>
      <x:c r="D122" s="20" t="s">
        <x:v>59</x:v>
      </x:c>
      <x:c r="E122" s="20" t="s">
        <x:v>489</x:v>
      </x:c>
      <x:c r="F122" s="20" t="s">
        <x:v>126</x:v>
      </x:c>
      <x:c r="G122" s="20" t="s">
        <x:v>492</x:v>
      </x:c>
      <x:c r="H122" s="20" t="s">
        <x:v>131</x:v>
      </x:c>
      <x:c r="I122" s="20" t="s">
        <x:v>126</x:v>
      </x:c>
      <x:c r="J122" s="20" t="s">
        <x:v>127</x:v>
      </x:c>
      <x:c r="K122" s="20" t="s">
        <x:v>493</x:v>
      </x:c>
    </x:row>
    <x:row r="123" ht="23.850000381469727" hidden="0">
      <x:c r="A123" s="20" t="s">
        <x:v>494</x:v>
      </x:c>
      <x:c r="B123" s="20" t="n">
        <x:v>4</x:v>
      </x:c>
      <x:c r="C123" s="20" t="s">
        <x:v>58</x:v>
      </x:c>
      <x:c r="D123" s="20" t="s">
        <x:v>59</x:v>
      </x:c>
      <x:c r="E123" s="20" t="s">
        <x:v>489</x:v>
      </x:c>
      <x:c r="F123" s="20" t="s">
        <x:v>126</x:v>
      </x:c>
      <x:c r="G123" s="20" t="s">
        <x:v>495</x:v>
      </x:c>
      <x:c r="H123" s="20" t="s">
        <x:v>135</x:v>
      </x:c>
      <x:c r="I123" s="20" t="s">
        <x:v>126</x:v>
      </x:c>
      <x:c r="J123" s="20" t="s">
        <x:v>127</x:v>
      </x:c>
      <x:c r="K123" s="20" t="s">
        <x:v>496</x:v>
      </x:c>
    </x:row>
    <x:row r="124" ht="35.04999923706055" hidden="0">
      <x:c r="A124" s="20" t="s">
        <x:v>497</x:v>
      </x:c>
      <x:c r="B124" s="20" t="n">
        <x:v>3</x:v>
      </x:c>
      <x:c r="C124" s="20" t="s">
        <x:v>58</x:v>
      </x:c>
      <x:c r="D124" s="20" t="s">
        <x:v>59</x:v>
      </x:c>
      <x:c r="E124" s="20" t="s">
        <x:v>498</x:v>
      </x:c>
      <x:c r="F124" s="20" t="s">
        <x:v>139</x:v>
      </x:c>
      <x:c r="G124" s="20"/>
      <x:c r="H124" s="20"/>
      <x:c r="I124" s="20" t="s">
        <x:v>139</x:v>
      </x:c>
      <x:c r="J124" s="20" t="s">
        <x:v>140</x:v>
      </x:c>
      <x:c r="K124" s="20" t="s">
        <x:v>499</x:v>
      </x:c>
    </x:row>
    <x:row r="125" ht="23.850000381469727" hidden="0">
      <x:c r="A125" s="20" t="s">
        <x:v>500</x:v>
      </x:c>
      <x:c r="B125" s="20" t="n">
        <x:v>4</x:v>
      </x:c>
      <x:c r="C125" s="20" t="s">
        <x:v>58</x:v>
      </x:c>
      <x:c r="D125" s="20" t="s">
        <x:v>59</x:v>
      </x:c>
      <x:c r="E125" s="20" t="s">
        <x:v>498</x:v>
      </x:c>
      <x:c r="F125" s="20" t="s">
        <x:v>139</x:v>
      </x:c>
      <x:c r="G125" s="20" t="s">
        <x:v>501</x:v>
      </x:c>
      <x:c r="H125" s="20" t="s">
        <x:v>502</x:v>
      </x:c>
      <x:c r="I125" s="20" t="s">
        <x:v>139</x:v>
      </x:c>
      <x:c r="J125" s="20" t="s">
        <x:v>140</x:v>
      </x:c>
      <x:c r="K125" s="20" t="s">
        <x:v>503</x:v>
      </x:c>
    </x:row>
    <x:row r="126" ht="23.850000381469727" hidden="0">
      <x:c r="A126" s="20" t="s">
        <x:v>504</x:v>
      </x:c>
      <x:c r="B126" s="20" t="n">
        <x:v>4</x:v>
      </x:c>
      <x:c r="C126" s="20" t="s">
        <x:v>58</x:v>
      </x:c>
      <x:c r="D126" s="20" t="s">
        <x:v>59</x:v>
      </x:c>
      <x:c r="E126" s="20" t="s">
        <x:v>498</x:v>
      </x:c>
      <x:c r="F126" s="20" t="s">
        <x:v>139</x:v>
      </x:c>
      <x:c r="G126" s="20" t="s">
        <x:v>505</x:v>
      </x:c>
      <x:c r="H126" s="20" t="s">
        <x:v>506</x:v>
      </x:c>
      <x:c r="I126" s="20" t="s">
        <x:v>139</x:v>
      </x:c>
      <x:c r="J126" s="20" t="s">
        <x:v>140</x:v>
      </x:c>
      <x:c r="K126" s="20" t="s">
        <x:v>507</x:v>
      </x:c>
    </x:row>
    <x:row r="127" ht="23.850000381469727" hidden="0">
      <x:c r="A127" s="20" t="s">
        <x:v>508</x:v>
      </x:c>
      <x:c r="B127" s="20" t="n">
        <x:v>4</x:v>
      </x:c>
      <x:c r="C127" s="20" t="s">
        <x:v>58</x:v>
      </x:c>
      <x:c r="D127" s="20" t="s">
        <x:v>59</x:v>
      </x:c>
      <x:c r="E127" s="20" t="s">
        <x:v>498</x:v>
      </x:c>
      <x:c r="F127" s="20" t="s">
        <x:v>139</x:v>
      </x:c>
      <x:c r="G127" s="20" t="s">
        <x:v>509</x:v>
      </x:c>
      <x:c r="H127" s="20" t="s">
        <x:v>510</x:v>
      </x:c>
      <x:c r="I127" s="20" t="s">
        <x:v>139</x:v>
      </x:c>
      <x:c r="J127" s="20" t="s">
        <x:v>140</x:v>
      </x:c>
      <x:c r="K127" s="20" t="s">
        <x:v>511</x:v>
      </x:c>
    </x:row>
    <x:row r="128" ht="35.04999923706055" hidden="0">
      <x:c r="A128" s="20" t="s">
        <x:v>512</x:v>
      </x:c>
      <x:c r="B128" s="20" t="n">
        <x:v>3</x:v>
      </x:c>
      <x:c r="C128" s="20" t="s">
        <x:v>58</x:v>
      </x:c>
      <x:c r="D128" s="20" t="s">
        <x:v>59</x:v>
      </x:c>
      <x:c r="E128" s="20" t="s">
        <x:v>513</x:v>
      </x:c>
      <x:c r="F128" s="20" t="s">
        <x:v>156</x:v>
      </x:c>
      <x:c r="G128" s="20"/>
      <x:c r="H128" s="20"/>
      <x:c r="I128" s="20" t="s">
        <x:v>156</x:v>
      </x:c>
      <x:c r="J128" s="20" t="s">
        <x:v>157</x:v>
      </x:c>
      <x:c r="K128" s="20" t="s">
        <x:v>514</x:v>
      </x:c>
    </x:row>
    <x:row r="129" ht="23.850000381469727" hidden="0">
      <x:c r="A129" s="20" t="s">
        <x:v>515</x:v>
      </x:c>
      <x:c r="B129" s="20" t="n">
        <x:v>4</x:v>
      </x:c>
      <x:c r="C129" s="20" t="s">
        <x:v>58</x:v>
      </x:c>
      <x:c r="D129" s="20" t="s">
        <x:v>59</x:v>
      </x:c>
      <x:c r="E129" s="20" t="s">
        <x:v>513</x:v>
      </x:c>
      <x:c r="F129" s="20" t="s">
        <x:v>156</x:v>
      </x:c>
      <x:c r="G129" s="20" t="s">
        <x:v>516</x:v>
      </x:c>
      <x:c r="H129" s="20" t="s">
        <x:v>161</x:v>
      </x:c>
      <x:c r="I129" s="20" t="s">
        <x:v>156</x:v>
      </x:c>
      <x:c r="J129" s="20" t="s">
        <x:v>157</x:v>
      </x:c>
      <x:c r="K129" s="20" t="s">
        <x:v>517</x:v>
      </x:c>
    </x:row>
    <x:row r="130" ht="35.04999923706055" hidden="0">
      <x:c r="A130" s="20" t="s">
        <x:v>518</x:v>
      </x:c>
      <x:c r="B130" s="20" t="n">
        <x:v>3</x:v>
      </x:c>
      <x:c r="C130" s="20" t="s">
        <x:v>58</x:v>
      </x:c>
      <x:c r="D130" s="20" t="s">
        <x:v>59</x:v>
      </x:c>
      <x:c r="E130" s="20" t="s">
        <x:v>519</x:v>
      </x:c>
      <x:c r="F130" s="20" t="s">
        <x:v>165</x:v>
      </x:c>
      <x:c r="G130" s="20"/>
      <x:c r="H130" s="20"/>
      <x:c r="I130" s="20" t="s">
        <x:v>165</x:v>
      </x:c>
      <x:c r="J130" s="20" t="s">
        <x:v>166</x:v>
      </x:c>
      <x:c r="K130" s="20" t="s">
        <x:v>520</x:v>
      </x:c>
    </x:row>
    <x:row r="131" ht="23.850000381469727" hidden="0">
      <x:c r="A131" s="20" t="s">
        <x:v>521</x:v>
      </x:c>
      <x:c r="B131" s="20" t="n">
        <x:v>4</x:v>
      </x:c>
      <x:c r="C131" s="20" t="s">
        <x:v>58</x:v>
      </x:c>
      <x:c r="D131" s="20" t="s">
        <x:v>59</x:v>
      </x:c>
      <x:c r="E131" s="20" t="s">
        <x:v>519</x:v>
      </x:c>
      <x:c r="F131" s="20" t="s">
        <x:v>165</x:v>
      </x:c>
      <x:c r="G131" s="20" t="s">
        <x:v>522</x:v>
      </x:c>
      <x:c r="H131" s="20" t="s">
        <x:v>170</x:v>
      </x:c>
      <x:c r="I131" s="20" t="s">
        <x:v>165</x:v>
      </x:c>
      <x:c r="J131" s="20" t="s">
        <x:v>166</x:v>
      </x:c>
      <x:c r="K131" s="20" t="s">
        <x:v>523</x:v>
      </x:c>
    </x:row>
    <x:row r="132" ht="23.850000381469727" hidden="0">
      <x:c r="A132" s="20" t="s">
        <x:v>524</x:v>
      </x:c>
      <x:c r="B132" s="20" t="n">
        <x:v>4</x:v>
      </x:c>
      <x:c r="C132" s="20" t="s">
        <x:v>58</x:v>
      </x:c>
      <x:c r="D132" s="20" t="s">
        <x:v>59</x:v>
      </x:c>
      <x:c r="E132" s="20" t="s">
        <x:v>519</x:v>
      </x:c>
      <x:c r="F132" s="20" t="s">
        <x:v>165</x:v>
      </x:c>
      <x:c r="G132" s="20" t="s">
        <x:v>525</x:v>
      </x:c>
      <x:c r="H132" s="20" t="s">
        <x:v>174</x:v>
      </x:c>
      <x:c r="I132" s="20" t="s">
        <x:v>165</x:v>
      </x:c>
      <x:c r="J132" s="20" t="s">
        <x:v>166</x:v>
      </x:c>
      <x:c r="K132" s="20" t="s">
        <x:v>526</x:v>
      </x:c>
    </x:row>
    <x:row r="133" ht="35.04999923706055" hidden="0">
      <x:c r="A133" s="20" t="s">
        <x:v>527</x:v>
      </x:c>
      <x:c r="B133" s="20" t="n">
        <x:v>3</x:v>
      </x:c>
      <x:c r="C133" s="20" t="s">
        <x:v>61</x:v>
      </x:c>
      <x:c r="D133" s="20" t="s">
        <x:v>62</x:v>
      </x:c>
      <x:c r="E133" s="20" t="s">
        <x:v>528</x:v>
      </x:c>
      <x:c r="F133" s="20" t="s">
        <x:v>100</x:v>
      </x:c>
      <x:c r="G133" s="20"/>
      <x:c r="H133" s="20"/>
      <x:c r="I133" s="20" t="s">
        <x:v>100</x:v>
      </x:c>
      <x:c r="J133" s="20" t="s">
        <x:v>101</x:v>
      </x:c>
      <x:c r="K133" s="20" t="s">
        <x:v>529</x:v>
      </x:c>
    </x:row>
    <x:row r="134" ht="23.850000381469727" hidden="0">
      <x:c r="A134" s="20" t="s">
        <x:v>530</x:v>
      </x:c>
      <x:c r="B134" s="20" t="n">
        <x:v>4</x:v>
      </x:c>
      <x:c r="C134" s="20" t="s">
        <x:v>61</x:v>
      </x:c>
      <x:c r="D134" s="20" t="s">
        <x:v>62</x:v>
      </x:c>
      <x:c r="E134" s="20" t="s">
        <x:v>528</x:v>
      </x:c>
      <x:c r="F134" s="20" t="s">
        <x:v>100</x:v>
      </x:c>
      <x:c r="G134" s="20" t="s">
        <x:v>531</x:v>
      </x:c>
      <x:c r="H134" s="20" t="s">
        <x:v>105</x:v>
      </x:c>
      <x:c r="I134" s="20" t="s">
        <x:v>100</x:v>
      </x:c>
      <x:c r="J134" s="20" t="s">
        <x:v>101</x:v>
      </x:c>
      <x:c r="K134" s="20" t="s">
        <x:v>532</x:v>
      </x:c>
    </x:row>
    <x:row r="135" ht="23.850000381469727" hidden="0">
      <x:c r="A135" s="20" t="s">
        <x:v>533</x:v>
      </x:c>
      <x:c r="B135" s="20" t="n">
        <x:v>4</x:v>
      </x:c>
      <x:c r="C135" s="20" t="s">
        <x:v>61</x:v>
      </x:c>
      <x:c r="D135" s="20" t="s">
        <x:v>62</x:v>
      </x:c>
      <x:c r="E135" s="20" t="s">
        <x:v>528</x:v>
      </x:c>
      <x:c r="F135" s="20" t="s">
        <x:v>100</x:v>
      </x:c>
      <x:c r="G135" s="20" t="s">
        <x:v>534</x:v>
      </x:c>
      <x:c r="H135" s="20" t="s">
        <x:v>109</x:v>
      </x:c>
      <x:c r="I135" s="20" t="s">
        <x:v>100</x:v>
      </x:c>
      <x:c r="J135" s="20" t="s">
        <x:v>101</x:v>
      </x:c>
      <x:c r="K135" s="20" t="s">
        <x:v>535</x:v>
      </x:c>
    </x:row>
    <x:row r="136" ht="35.04999923706055" hidden="0">
      <x:c r="A136" s="20" t="s">
        <x:v>536</x:v>
      </x:c>
      <x:c r="B136" s="20" t="n">
        <x:v>3</x:v>
      </x:c>
      <x:c r="C136" s="20" t="s">
        <x:v>61</x:v>
      </x:c>
      <x:c r="D136" s="20" t="s">
        <x:v>62</x:v>
      </x:c>
      <x:c r="E136" s="20" t="s">
        <x:v>537</x:v>
      </x:c>
      <x:c r="F136" s="20" t="s">
        <x:v>113</x:v>
      </x:c>
      <x:c r="G136" s="20"/>
      <x:c r="H136" s="20"/>
      <x:c r="I136" s="20" t="s">
        <x:v>113</x:v>
      </x:c>
      <x:c r="J136" s="20" t="s">
        <x:v>114</x:v>
      </x:c>
      <x:c r="K136" s="20" t="s">
        <x:v>538</x:v>
      </x:c>
    </x:row>
    <x:row r="137" ht="23.850000381469727" hidden="0">
      <x:c r="A137" s="20" t="s">
        <x:v>539</x:v>
      </x:c>
      <x:c r="B137" s="20" t="n">
        <x:v>4</x:v>
      </x:c>
      <x:c r="C137" s="20" t="s">
        <x:v>61</x:v>
      </x:c>
      <x:c r="D137" s="20" t="s">
        <x:v>62</x:v>
      </x:c>
      <x:c r="E137" s="20" t="s">
        <x:v>537</x:v>
      </x:c>
      <x:c r="F137" s="20" t="s">
        <x:v>113</x:v>
      </x:c>
      <x:c r="G137" s="20" t="s">
        <x:v>540</x:v>
      </x:c>
      <x:c r="H137" s="20" t="s">
        <x:v>118</x:v>
      </x:c>
      <x:c r="I137" s="20" t="s">
        <x:v>113</x:v>
      </x:c>
      <x:c r="J137" s="20" t="s">
        <x:v>114</x:v>
      </x:c>
      <x:c r="K137" s="20" t="s">
        <x:v>541</x:v>
      </x:c>
    </x:row>
    <x:row r="138" ht="23.850000381469727" hidden="0">
      <x:c r="A138" s="20" t="s">
        <x:v>542</x:v>
      </x:c>
      <x:c r="B138" s="20" t="n">
        <x:v>4</x:v>
      </x:c>
      <x:c r="C138" s="20" t="s">
        <x:v>61</x:v>
      </x:c>
      <x:c r="D138" s="20" t="s">
        <x:v>62</x:v>
      </x:c>
      <x:c r="E138" s="20" t="s">
        <x:v>537</x:v>
      </x:c>
      <x:c r="F138" s="20" t="s">
        <x:v>113</x:v>
      </x:c>
      <x:c r="G138" s="20" t="s">
        <x:v>543</x:v>
      </x:c>
      <x:c r="H138" s="20" t="s">
        <x:v>122</x:v>
      </x:c>
      <x:c r="I138" s="20" t="s">
        <x:v>113</x:v>
      </x:c>
      <x:c r="J138" s="20" t="s">
        <x:v>114</x:v>
      </x:c>
      <x:c r="K138" s="20" t="s">
        <x:v>544</x:v>
      </x:c>
    </x:row>
    <x:row r="139" ht="35.04999923706055" hidden="0">
      <x:c r="A139" s="20" t="s">
        <x:v>545</x:v>
      </x:c>
      <x:c r="B139" s="20" t="n">
        <x:v>3</x:v>
      </x:c>
      <x:c r="C139" s="20" t="s">
        <x:v>61</x:v>
      </x:c>
      <x:c r="D139" s="20" t="s">
        <x:v>62</x:v>
      </x:c>
      <x:c r="E139" s="20" t="s">
        <x:v>546</x:v>
      </x:c>
      <x:c r="F139" s="20" t="s">
        <x:v>126</x:v>
      </x:c>
      <x:c r="G139" s="20"/>
      <x:c r="H139" s="20"/>
      <x:c r="I139" s="20" t="s">
        <x:v>126</x:v>
      </x:c>
      <x:c r="J139" s="20" t="s">
        <x:v>127</x:v>
      </x:c>
      <x:c r="K139" s="20" t="s">
        <x:v>547</x:v>
      </x:c>
    </x:row>
    <x:row r="140" ht="23.850000381469727" hidden="0">
      <x:c r="A140" s="20" t="s">
        <x:v>548</x:v>
      </x:c>
      <x:c r="B140" s="20" t="n">
        <x:v>4</x:v>
      </x:c>
      <x:c r="C140" s="20" t="s">
        <x:v>61</x:v>
      </x:c>
      <x:c r="D140" s="20" t="s">
        <x:v>62</x:v>
      </x:c>
      <x:c r="E140" s="20" t="s">
        <x:v>546</x:v>
      </x:c>
      <x:c r="F140" s="20" t="s">
        <x:v>126</x:v>
      </x:c>
      <x:c r="G140" s="20" t="s">
        <x:v>549</x:v>
      </x:c>
      <x:c r="H140" s="20" t="s">
        <x:v>131</x:v>
      </x:c>
      <x:c r="I140" s="20" t="s">
        <x:v>126</x:v>
      </x:c>
      <x:c r="J140" s="20" t="s">
        <x:v>127</x:v>
      </x:c>
      <x:c r="K140" s="20" t="s">
        <x:v>550</x:v>
      </x:c>
    </x:row>
    <x:row r="141" ht="23.850000381469727" hidden="0">
      <x:c r="A141" s="20" t="s">
        <x:v>551</x:v>
      </x:c>
      <x:c r="B141" s="20" t="n">
        <x:v>4</x:v>
      </x:c>
      <x:c r="C141" s="20" t="s">
        <x:v>61</x:v>
      </x:c>
      <x:c r="D141" s="20" t="s">
        <x:v>62</x:v>
      </x:c>
      <x:c r="E141" s="20" t="s">
        <x:v>546</x:v>
      </x:c>
      <x:c r="F141" s="20" t="s">
        <x:v>126</x:v>
      </x:c>
      <x:c r="G141" s="20" t="s">
        <x:v>552</x:v>
      </x:c>
      <x:c r="H141" s="20" t="s">
        <x:v>135</x:v>
      </x:c>
      <x:c r="I141" s="20" t="s">
        <x:v>126</x:v>
      </x:c>
      <x:c r="J141" s="20" t="s">
        <x:v>127</x:v>
      </x:c>
      <x:c r="K141" s="20" t="s">
        <x:v>553</x:v>
      </x:c>
    </x:row>
    <x:row r="142" ht="35.04999923706055" hidden="0">
      <x:c r="A142" s="20" t="s">
        <x:v>554</x:v>
      </x:c>
      <x:c r="B142" s="20" t="n">
        <x:v>3</x:v>
      </x:c>
      <x:c r="C142" s="20" t="s">
        <x:v>61</x:v>
      </x:c>
      <x:c r="D142" s="20" t="s">
        <x:v>62</x:v>
      </x:c>
      <x:c r="E142" s="20" t="s">
        <x:v>555</x:v>
      </x:c>
      <x:c r="F142" s="20" t="s">
        <x:v>139</x:v>
      </x:c>
      <x:c r="G142" s="20"/>
      <x:c r="H142" s="20"/>
      <x:c r="I142" s="20" t="s">
        <x:v>139</x:v>
      </x:c>
      <x:c r="J142" s="20" t="s">
        <x:v>140</x:v>
      </x:c>
      <x:c r="K142" s="20" t="s">
        <x:v>556</x:v>
      </x:c>
    </x:row>
    <x:row r="143" ht="23.850000381469727" hidden="0">
      <x:c r="A143" s="20" t="s">
        <x:v>557</x:v>
      </x:c>
      <x:c r="B143" s="20" t="n">
        <x:v>4</x:v>
      </x:c>
      <x:c r="C143" s="20" t="s">
        <x:v>61</x:v>
      </x:c>
      <x:c r="D143" s="20" t="s">
        <x:v>62</x:v>
      </x:c>
      <x:c r="E143" s="20" t="s">
        <x:v>555</x:v>
      </x:c>
      <x:c r="F143" s="20" t="s">
        <x:v>139</x:v>
      </x:c>
      <x:c r="G143" s="20" t="s">
        <x:v>558</x:v>
      </x:c>
      <x:c r="H143" s="20" t="s">
        <x:v>559</x:v>
      </x:c>
      <x:c r="I143" s="20" t="s">
        <x:v>139</x:v>
      </x:c>
      <x:c r="J143" s="20" t="s">
        <x:v>140</x:v>
      </x:c>
      <x:c r="K143" s="20" t="s">
        <x:v>560</x:v>
      </x:c>
    </x:row>
    <x:row r="144" ht="23.850000381469727" hidden="0">
      <x:c r="A144" s="20" t="s">
        <x:v>561</x:v>
      </x:c>
      <x:c r="B144" s="20" t="n">
        <x:v>4</x:v>
      </x:c>
      <x:c r="C144" s="20" t="s">
        <x:v>61</x:v>
      </x:c>
      <x:c r="D144" s="20" t="s">
        <x:v>62</x:v>
      </x:c>
      <x:c r="E144" s="20" t="s">
        <x:v>555</x:v>
      </x:c>
      <x:c r="F144" s="20" t="s">
        <x:v>139</x:v>
      </x:c>
      <x:c r="G144" s="20" t="s">
        <x:v>562</x:v>
      </x:c>
      <x:c r="H144" s="20" t="s">
        <x:v>563</x:v>
      </x:c>
      <x:c r="I144" s="20" t="s">
        <x:v>139</x:v>
      </x:c>
      <x:c r="J144" s="20" t="s">
        <x:v>140</x:v>
      </x:c>
      <x:c r="K144" s="20" t="s">
        <x:v>564</x:v>
      </x:c>
    </x:row>
    <x:row r="145" ht="23.850000381469727" hidden="0">
      <x:c r="A145" s="20" t="s">
        <x:v>565</x:v>
      </x:c>
      <x:c r="B145" s="20" t="n">
        <x:v>4</x:v>
      </x:c>
      <x:c r="C145" s="20" t="s">
        <x:v>61</x:v>
      </x:c>
      <x:c r="D145" s="20" t="s">
        <x:v>62</x:v>
      </x:c>
      <x:c r="E145" s="20" t="s">
        <x:v>555</x:v>
      </x:c>
      <x:c r="F145" s="20" t="s">
        <x:v>139</x:v>
      </x:c>
      <x:c r="G145" s="20" t="s">
        <x:v>566</x:v>
      </x:c>
      <x:c r="H145" s="20" t="s">
        <x:v>567</x:v>
      </x:c>
      <x:c r="I145" s="20" t="s">
        <x:v>139</x:v>
      </x:c>
      <x:c r="J145" s="20" t="s">
        <x:v>140</x:v>
      </x:c>
      <x:c r="K145" s="20" t="s">
        <x:v>568</x:v>
      </x:c>
    </x:row>
    <x:row r="146" ht="35.04999923706055" hidden="0">
      <x:c r="A146" s="20" t="s">
        <x:v>569</x:v>
      </x:c>
      <x:c r="B146" s="20" t="n">
        <x:v>3</x:v>
      </x:c>
      <x:c r="C146" s="20" t="s">
        <x:v>61</x:v>
      </x:c>
      <x:c r="D146" s="20" t="s">
        <x:v>62</x:v>
      </x:c>
      <x:c r="E146" s="20" t="s">
        <x:v>570</x:v>
      </x:c>
      <x:c r="F146" s="20" t="s">
        <x:v>156</x:v>
      </x:c>
      <x:c r="G146" s="20"/>
      <x:c r="H146" s="20"/>
      <x:c r="I146" s="20" t="s">
        <x:v>156</x:v>
      </x:c>
      <x:c r="J146" s="20" t="s">
        <x:v>157</x:v>
      </x:c>
      <x:c r="K146" s="20" t="s">
        <x:v>571</x:v>
      </x:c>
    </x:row>
    <x:row r="147" ht="23.850000381469727" hidden="0">
      <x:c r="A147" s="20" t="s">
        <x:v>572</x:v>
      </x:c>
      <x:c r="B147" s="20" t="n">
        <x:v>4</x:v>
      </x:c>
      <x:c r="C147" s="20" t="s">
        <x:v>61</x:v>
      </x:c>
      <x:c r="D147" s="20" t="s">
        <x:v>62</x:v>
      </x:c>
      <x:c r="E147" s="20" t="s">
        <x:v>570</x:v>
      </x:c>
      <x:c r="F147" s="20" t="s">
        <x:v>156</x:v>
      </x:c>
      <x:c r="G147" s="20" t="s">
        <x:v>573</x:v>
      </x:c>
      <x:c r="H147" s="20" t="s">
        <x:v>161</x:v>
      </x:c>
      <x:c r="I147" s="20" t="s">
        <x:v>156</x:v>
      </x:c>
      <x:c r="J147" s="20" t="s">
        <x:v>157</x:v>
      </x:c>
      <x:c r="K147" s="20" t="s">
        <x:v>574</x:v>
      </x:c>
    </x:row>
    <x:row r="148" ht="35.04999923706055" hidden="0">
      <x:c r="A148" s="20" t="s">
        <x:v>575</x:v>
      </x:c>
      <x:c r="B148" s="20" t="n">
        <x:v>3</x:v>
      </x:c>
      <x:c r="C148" s="20" t="s">
        <x:v>61</x:v>
      </x:c>
      <x:c r="D148" s="20" t="s">
        <x:v>62</x:v>
      </x:c>
      <x:c r="E148" s="20" t="s">
        <x:v>576</x:v>
      </x:c>
      <x:c r="F148" s="20" t="s">
        <x:v>165</x:v>
      </x:c>
      <x:c r="G148" s="20"/>
      <x:c r="H148" s="20"/>
      <x:c r="I148" s="20" t="s">
        <x:v>165</x:v>
      </x:c>
      <x:c r="J148" s="20" t="s">
        <x:v>166</x:v>
      </x:c>
      <x:c r="K148" s="20" t="s">
        <x:v>577</x:v>
      </x:c>
    </x:row>
    <x:row r="149" ht="23.850000381469727" hidden="0">
      <x:c r="A149" s="20" t="s">
        <x:v>578</x:v>
      </x:c>
      <x:c r="B149" s="20" t="n">
        <x:v>4</x:v>
      </x:c>
      <x:c r="C149" s="20" t="s">
        <x:v>61</x:v>
      </x:c>
      <x:c r="D149" s="20" t="s">
        <x:v>62</x:v>
      </x:c>
      <x:c r="E149" s="20" t="s">
        <x:v>576</x:v>
      </x:c>
      <x:c r="F149" s="20" t="s">
        <x:v>165</x:v>
      </x:c>
      <x:c r="G149" s="20" t="s">
        <x:v>579</x:v>
      </x:c>
      <x:c r="H149" s="20" t="s">
        <x:v>170</x:v>
      </x:c>
      <x:c r="I149" s="20" t="s">
        <x:v>165</x:v>
      </x:c>
      <x:c r="J149" s="20" t="s">
        <x:v>166</x:v>
      </x:c>
      <x:c r="K149" s="20" t="s">
        <x:v>580</x:v>
      </x:c>
    </x:row>
    <x:row r="150" ht="23.850000381469727" hidden="0">
      <x:c r="A150" s="20" t="s">
        <x:v>581</x:v>
      </x:c>
      <x:c r="B150" s="20" t="n">
        <x:v>4</x:v>
      </x:c>
      <x:c r="C150" s="20" t="s">
        <x:v>61</x:v>
      </x:c>
      <x:c r="D150" s="20" t="s">
        <x:v>62</x:v>
      </x:c>
      <x:c r="E150" s="20" t="s">
        <x:v>576</x:v>
      </x:c>
      <x:c r="F150" s="20" t="s">
        <x:v>165</x:v>
      </x:c>
      <x:c r="G150" s="20" t="s">
        <x:v>582</x:v>
      </x:c>
      <x:c r="H150" s="20" t="s">
        <x:v>174</x:v>
      </x:c>
      <x:c r="I150" s="20" t="s">
        <x:v>165</x:v>
      </x:c>
      <x:c r="J150" s="20" t="s">
        <x:v>166</x:v>
      </x:c>
      <x:c r="K150" s="20" t="s">
        <x:v>583</x:v>
      </x:c>
    </x:row>
    <x:row r="151" ht="35.04999923706055" hidden="0">
      <x:c r="A151" s="20" t="s">
        <x:v>584</x:v>
      </x:c>
      <x:c r="B151" s="20" t="n">
        <x:v>3</x:v>
      </x:c>
      <x:c r="C151" s="20" t="s">
        <x:v>65</x:v>
      </x:c>
      <x:c r="D151" s="20" t="s">
        <x:v>66</x:v>
      </x:c>
      <x:c r="E151" s="20" t="s">
        <x:v>585</x:v>
      </x:c>
      <x:c r="F151" s="20" t="s">
        <x:v>100</x:v>
      </x:c>
      <x:c r="G151" s="20"/>
      <x:c r="H151" s="20"/>
      <x:c r="I151" s="20" t="s">
        <x:v>100</x:v>
      </x:c>
      <x:c r="J151" s="20" t="s">
        <x:v>101</x:v>
      </x:c>
      <x:c r="K151" s="20" t="s">
        <x:v>586</x:v>
      </x:c>
    </x:row>
    <x:row r="152" ht="23.850000381469727" hidden="0">
      <x:c r="A152" s="20" t="s">
        <x:v>587</x:v>
      </x:c>
      <x:c r="B152" s="20" t="n">
        <x:v>4</x:v>
      </x:c>
      <x:c r="C152" s="20" t="s">
        <x:v>65</x:v>
      </x:c>
      <x:c r="D152" s="20" t="s">
        <x:v>66</x:v>
      </x:c>
      <x:c r="E152" s="20" t="s">
        <x:v>585</x:v>
      </x:c>
      <x:c r="F152" s="20" t="s">
        <x:v>100</x:v>
      </x:c>
      <x:c r="G152" s="20" t="s">
        <x:v>588</x:v>
      </x:c>
      <x:c r="H152" s="20" t="s">
        <x:v>105</x:v>
      </x:c>
      <x:c r="I152" s="20" t="s">
        <x:v>100</x:v>
      </x:c>
      <x:c r="J152" s="20" t="s">
        <x:v>101</x:v>
      </x:c>
      <x:c r="K152" s="20" t="s">
        <x:v>589</x:v>
      </x:c>
    </x:row>
    <x:row r="153" ht="23.850000381469727" hidden="0">
      <x:c r="A153" s="20" t="s">
        <x:v>590</x:v>
      </x:c>
      <x:c r="B153" s="20" t="n">
        <x:v>4</x:v>
      </x:c>
      <x:c r="C153" s="20" t="s">
        <x:v>65</x:v>
      </x:c>
      <x:c r="D153" s="20" t="s">
        <x:v>66</x:v>
      </x:c>
      <x:c r="E153" s="20" t="s">
        <x:v>585</x:v>
      </x:c>
      <x:c r="F153" s="20" t="s">
        <x:v>100</x:v>
      </x:c>
      <x:c r="G153" s="20" t="s">
        <x:v>591</x:v>
      </x:c>
      <x:c r="H153" s="20" t="s">
        <x:v>109</x:v>
      </x:c>
      <x:c r="I153" s="20" t="s">
        <x:v>100</x:v>
      </x:c>
      <x:c r="J153" s="20" t="s">
        <x:v>101</x:v>
      </x:c>
      <x:c r="K153" s="20" t="s">
        <x:v>592</x:v>
      </x:c>
    </x:row>
    <x:row r="154" ht="35.04999923706055" hidden="0">
      <x:c r="A154" s="20" t="s">
        <x:v>593</x:v>
      </x:c>
      <x:c r="B154" s="20" t="n">
        <x:v>3</x:v>
      </x:c>
      <x:c r="C154" s="20" t="s">
        <x:v>65</x:v>
      </x:c>
      <x:c r="D154" s="20" t="s">
        <x:v>66</x:v>
      </x:c>
      <x:c r="E154" s="20" t="s">
        <x:v>594</x:v>
      </x:c>
      <x:c r="F154" s="20" t="s">
        <x:v>113</x:v>
      </x:c>
      <x:c r="G154" s="20"/>
      <x:c r="H154" s="20"/>
      <x:c r="I154" s="20" t="s">
        <x:v>113</x:v>
      </x:c>
      <x:c r="J154" s="20" t="s">
        <x:v>114</x:v>
      </x:c>
      <x:c r="K154" s="20" t="s">
        <x:v>595</x:v>
      </x:c>
    </x:row>
    <x:row r="155" ht="23.850000381469727" hidden="0">
      <x:c r="A155" s="20" t="s">
        <x:v>596</x:v>
      </x:c>
      <x:c r="B155" s="20" t="n">
        <x:v>4</x:v>
      </x:c>
      <x:c r="C155" s="20" t="s">
        <x:v>65</x:v>
      </x:c>
      <x:c r="D155" s="20" t="s">
        <x:v>66</x:v>
      </x:c>
      <x:c r="E155" s="20" t="s">
        <x:v>594</x:v>
      </x:c>
      <x:c r="F155" s="20" t="s">
        <x:v>113</x:v>
      </x:c>
      <x:c r="G155" s="20" t="s">
        <x:v>597</x:v>
      </x:c>
      <x:c r="H155" s="20" t="s">
        <x:v>118</x:v>
      </x:c>
      <x:c r="I155" s="20" t="s">
        <x:v>113</x:v>
      </x:c>
      <x:c r="J155" s="20" t="s">
        <x:v>114</x:v>
      </x:c>
      <x:c r="K155" s="20" t="s">
        <x:v>598</x:v>
      </x:c>
    </x:row>
    <x:row r="156" ht="23.850000381469727" hidden="0">
      <x:c r="A156" s="20" t="s">
        <x:v>599</x:v>
      </x:c>
      <x:c r="B156" s="20" t="n">
        <x:v>4</x:v>
      </x:c>
      <x:c r="C156" s="20" t="s">
        <x:v>65</x:v>
      </x:c>
      <x:c r="D156" s="20" t="s">
        <x:v>66</x:v>
      </x:c>
      <x:c r="E156" s="20" t="s">
        <x:v>594</x:v>
      </x:c>
      <x:c r="F156" s="20" t="s">
        <x:v>113</x:v>
      </x:c>
      <x:c r="G156" s="20" t="s">
        <x:v>600</x:v>
      </x:c>
      <x:c r="H156" s="20" t="s">
        <x:v>122</x:v>
      </x:c>
      <x:c r="I156" s="20" t="s">
        <x:v>113</x:v>
      </x:c>
      <x:c r="J156" s="20" t="s">
        <x:v>114</x:v>
      </x:c>
      <x:c r="K156" s="20" t="s">
        <x:v>601</x:v>
      </x:c>
    </x:row>
    <x:row r="157" ht="23.850000381469727" hidden="0">
      <x:c r="A157" s="20" t="s">
        <x:v>602</x:v>
      </x:c>
      <x:c r="B157" s="20" t="n">
        <x:v>3</x:v>
      </x:c>
      <x:c r="C157" s="20" t="s">
        <x:v>65</x:v>
      </x:c>
      <x:c r="D157" s="20" t="s">
        <x:v>66</x:v>
      </x:c>
      <x:c r="E157" s="20" t="s">
        <x:v>603</x:v>
      </x:c>
      <x:c r="F157" s="20" t="s">
        <x:v>126</x:v>
      </x:c>
      <x:c r="G157" s="20"/>
      <x:c r="H157" s="20"/>
      <x:c r="I157" s="20" t="s">
        <x:v>126</x:v>
      </x:c>
      <x:c r="J157" s="20" t="s">
        <x:v>127</x:v>
      </x:c>
      <x:c r="K157" s="20" t="s">
        <x:v>604</x:v>
      </x:c>
    </x:row>
    <x:row r="158" ht="23.850000381469727" hidden="0">
      <x:c r="A158" s="20" t="s">
        <x:v>605</x:v>
      </x:c>
      <x:c r="B158" s="20" t="n">
        <x:v>4</x:v>
      </x:c>
      <x:c r="C158" s="20" t="s">
        <x:v>65</x:v>
      </x:c>
      <x:c r="D158" s="20" t="s">
        <x:v>66</x:v>
      </x:c>
      <x:c r="E158" s="20" t="s">
        <x:v>603</x:v>
      </x:c>
      <x:c r="F158" s="20" t="s">
        <x:v>126</x:v>
      </x:c>
      <x:c r="G158" s="20" t="s">
        <x:v>606</x:v>
      </x:c>
      <x:c r="H158" s="20" t="s">
        <x:v>131</x:v>
      </x:c>
      <x:c r="I158" s="20" t="s">
        <x:v>126</x:v>
      </x:c>
      <x:c r="J158" s="20" t="s">
        <x:v>127</x:v>
      </x:c>
      <x:c r="K158" s="20" t="s">
        <x:v>607</x:v>
      </x:c>
    </x:row>
    <x:row r="159" ht="23.850000381469727" hidden="0">
      <x:c r="A159" s="20" t="s">
        <x:v>608</x:v>
      </x:c>
      <x:c r="B159" s="20" t="n">
        <x:v>4</x:v>
      </x:c>
      <x:c r="C159" s="20" t="s">
        <x:v>65</x:v>
      </x:c>
      <x:c r="D159" s="20" t="s">
        <x:v>66</x:v>
      </x:c>
      <x:c r="E159" s="20" t="s">
        <x:v>603</x:v>
      </x:c>
      <x:c r="F159" s="20" t="s">
        <x:v>126</x:v>
      </x:c>
      <x:c r="G159" s="20" t="s">
        <x:v>609</x:v>
      </x:c>
      <x:c r="H159" s="20" t="s">
        <x:v>135</x:v>
      </x:c>
      <x:c r="I159" s="20" t="s">
        <x:v>126</x:v>
      </x:c>
      <x:c r="J159" s="20" t="s">
        <x:v>127</x:v>
      </x:c>
      <x:c r="K159" s="20" t="s">
        <x:v>610</x:v>
      </x:c>
    </x:row>
    <x:row r="160" ht="23.850000381469727" hidden="0">
      <x:c r="A160" s="20" t="s">
        <x:v>611</x:v>
      </x:c>
      <x:c r="B160" s="20" t="n">
        <x:v>3</x:v>
      </x:c>
      <x:c r="C160" s="20" t="s">
        <x:v>65</x:v>
      </x:c>
      <x:c r="D160" s="20" t="s">
        <x:v>66</x:v>
      </x:c>
      <x:c r="E160" s="20" t="s">
        <x:v>612</x:v>
      </x:c>
      <x:c r="F160" s="20" t="s">
        <x:v>139</x:v>
      </x:c>
      <x:c r="G160" s="20"/>
      <x:c r="H160" s="20"/>
      <x:c r="I160" s="20" t="s">
        <x:v>139</x:v>
      </x:c>
      <x:c r="J160" s="20" t="s">
        <x:v>140</x:v>
      </x:c>
      <x:c r="K160" s="20" t="s">
        <x:v>613</x:v>
      </x:c>
    </x:row>
    <x:row r="161" ht="23.850000381469727" hidden="0">
      <x:c r="A161" s="20" t="s">
        <x:v>614</x:v>
      </x:c>
      <x:c r="B161" s="20" t="n">
        <x:v>4</x:v>
      </x:c>
      <x:c r="C161" s="20" t="s">
        <x:v>65</x:v>
      </x:c>
      <x:c r="D161" s="20" t="s">
        <x:v>66</x:v>
      </x:c>
      <x:c r="E161" s="20" t="s">
        <x:v>612</x:v>
      </x:c>
      <x:c r="F161" s="20" t="s">
        <x:v>139</x:v>
      </x:c>
      <x:c r="G161" s="20" t="s">
        <x:v>615</x:v>
      </x:c>
      <x:c r="H161" s="20" t="s">
        <x:v>616</x:v>
      </x:c>
      <x:c r="I161" s="20" t="s">
        <x:v>139</x:v>
      </x:c>
      <x:c r="J161" s="20" t="s">
        <x:v>140</x:v>
      </x:c>
      <x:c r="K161" s="20" t="s">
        <x:v>617</x:v>
      </x:c>
    </x:row>
    <x:row r="162" ht="23.850000381469727" hidden="0">
      <x:c r="A162" s="20" t="s">
        <x:v>618</x:v>
      </x:c>
      <x:c r="B162" s="20" t="n">
        <x:v>4</x:v>
      </x:c>
      <x:c r="C162" s="20" t="s">
        <x:v>65</x:v>
      </x:c>
      <x:c r="D162" s="20" t="s">
        <x:v>66</x:v>
      </x:c>
      <x:c r="E162" s="20" t="s">
        <x:v>612</x:v>
      </x:c>
      <x:c r="F162" s="20" t="s">
        <x:v>139</x:v>
      </x:c>
      <x:c r="G162" s="20" t="s">
        <x:v>619</x:v>
      </x:c>
      <x:c r="H162" s="20" t="s">
        <x:v>620</x:v>
      </x:c>
      <x:c r="I162" s="20" t="s">
        <x:v>139</x:v>
      </x:c>
      <x:c r="J162" s="20" t="s">
        <x:v>140</x:v>
      </x:c>
      <x:c r="K162" s="20" t="s">
        <x:v>621</x:v>
      </x:c>
    </x:row>
    <x:row r="163" ht="23.850000381469727" hidden="0">
      <x:c r="A163" s="20" t="s">
        <x:v>622</x:v>
      </x:c>
      <x:c r="B163" s="20" t="n">
        <x:v>4</x:v>
      </x:c>
      <x:c r="C163" s="20" t="s">
        <x:v>65</x:v>
      </x:c>
      <x:c r="D163" s="20" t="s">
        <x:v>66</x:v>
      </x:c>
      <x:c r="E163" s="20" t="s">
        <x:v>612</x:v>
      </x:c>
      <x:c r="F163" s="20" t="s">
        <x:v>139</x:v>
      </x:c>
      <x:c r="G163" s="20" t="s">
        <x:v>623</x:v>
      </x:c>
      <x:c r="H163" s="20" t="s">
        <x:v>624</x:v>
      </x:c>
      <x:c r="I163" s="20" t="s">
        <x:v>139</x:v>
      </x:c>
      <x:c r="J163" s="20" t="s">
        <x:v>140</x:v>
      </x:c>
      <x:c r="K163" s="20" t="s">
        <x:v>625</x:v>
      </x:c>
    </x:row>
    <x:row r="164" ht="35.04999923706055" hidden="0">
      <x:c r="A164" s="20" t="s">
        <x:v>626</x:v>
      </x:c>
      <x:c r="B164" s="20" t="n">
        <x:v>3</x:v>
      </x:c>
      <x:c r="C164" s="20" t="s">
        <x:v>65</x:v>
      </x:c>
      <x:c r="D164" s="20" t="s">
        <x:v>66</x:v>
      </x:c>
      <x:c r="E164" s="20" t="s">
        <x:v>627</x:v>
      </x:c>
      <x:c r="F164" s="20" t="s">
        <x:v>156</x:v>
      </x:c>
      <x:c r="G164" s="20"/>
      <x:c r="H164" s="20"/>
      <x:c r="I164" s="20" t="s">
        <x:v>156</x:v>
      </x:c>
      <x:c r="J164" s="20" t="s">
        <x:v>157</x:v>
      </x:c>
      <x:c r="K164" s="20" t="s">
        <x:v>628</x:v>
      </x:c>
    </x:row>
    <x:row r="165" ht="23.850000381469727" hidden="0">
      <x:c r="A165" s="20" t="s">
        <x:v>629</x:v>
      </x:c>
      <x:c r="B165" s="20" t="n">
        <x:v>4</x:v>
      </x:c>
      <x:c r="C165" s="20" t="s">
        <x:v>65</x:v>
      </x:c>
      <x:c r="D165" s="20" t="s">
        <x:v>66</x:v>
      </x:c>
      <x:c r="E165" s="20" t="s">
        <x:v>627</x:v>
      </x:c>
      <x:c r="F165" s="20" t="s">
        <x:v>156</x:v>
      </x:c>
      <x:c r="G165" s="20" t="s">
        <x:v>630</x:v>
      </x:c>
      <x:c r="H165" s="20" t="s">
        <x:v>161</x:v>
      </x:c>
      <x:c r="I165" s="20" t="s">
        <x:v>156</x:v>
      </x:c>
      <x:c r="J165" s="20" t="s">
        <x:v>157</x:v>
      </x:c>
      <x:c r="K165" s="20" t="s">
        <x:v>631</x:v>
      </x:c>
    </x:row>
    <x:row r="166" ht="35.04999923706055" hidden="0">
      <x:c r="A166" s="20" t="s">
        <x:v>632</x:v>
      </x:c>
      <x:c r="B166" s="20" t="n">
        <x:v>3</x:v>
      </x:c>
      <x:c r="C166" s="20" t="s">
        <x:v>65</x:v>
      </x:c>
      <x:c r="D166" s="20" t="s">
        <x:v>66</x:v>
      </x:c>
      <x:c r="E166" s="20" t="s">
        <x:v>633</x:v>
      </x:c>
      <x:c r="F166" s="20" t="s">
        <x:v>165</x:v>
      </x:c>
      <x:c r="G166" s="20"/>
      <x:c r="H166" s="20"/>
      <x:c r="I166" s="20" t="s">
        <x:v>165</x:v>
      </x:c>
      <x:c r="J166" s="20" t="s">
        <x:v>166</x:v>
      </x:c>
      <x:c r="K166" s="20" t="s">
        <x:v>634</x:v>
      </x:c>
    </x:row>
    <x:row r="167" ht="23.850000381469727" hidden="0">
      <x:c r="A167" s="20" t="s">
        <x:v>635</x:v>
      </x:c>
      <x:c r="B167" s="20" t="n">
        <x:v>4</x:v>
      </x:c>
      <x:c r="C167" s="20" t="s">
        <x:v>65</x:v>
      </x:c>
      <x:c r="D167" s="20" t="s">
        <x:v>66</x:v>
      </x:c>
      <x:c r="E167" s="20" t="s">
        <x:v>633</x:v>
      </x:c>
      <x:c r="F167" s="20" t="s">
        <x:v>165</x:v>
      </x:c>
      <x:c r="G167" s="20" t="s">
        <x:v>636</x:v>
      </x:c>
      <x:c r="H167" s="20" t="s">
        <x:v>170</x:v>
      </x:c>
      <x:c r="I167" s="20" t="s">
        <x:v>165</x:v>
      </x:c>
      <x:c r="J167" s="20" t="s">
        <x:v>166</x:v>
      </x:c>
      <x:c r="K167" s="20" t="s">
        <x:v>637</x:v>
      </x:c>
    </x:row>
    <x:row r="168" ht="23.850000381469727" hidden="0">
      <x:c r="A168" s="20" t="s">
        <x:v>638</x:v>
      </x:c>
      <x:c r="B168" s="20" t="n">
        <x:v>4</x:v>
      </x:c>
      <x:c r="C168" s="20" t="s">
        <x:v>65</x:v>
      </x:c>
      <x:c r="D168" s="20" t="s">
        <x:v>66</x:v>
      </x:c>
      <x:c r="E168" s="20" t="s">
        <x:v>633</x:v>
      </x:c>
      <x:c r="F168" s="20" t="s">
        <x:v>165</x:v>
      </x:c>
      <x:c r="G168" s="20" t="s">
        <x:v>639</x:v>
      </x:c>
      <x:c r="H168" s="20" t="s">
        <x:v>174</x:v>
      </x:c>
      <x:c r="I168" s="20" t="s">
        <x:v>165</x:v>
      </x:c>
      <x:c r="J168" s="20" t="s">
        <x:v>166</x:v>
      </x:c>
      <x:c r="K168" s="20" t="s">
        <x:v>640</x:v>
      </x:c>
    </x:row>
    <x:row r="169" ht="35.04999923706055" hidden="0">
      <x:c r="A169" s="20" t="s">
        <x:v>641</x:v>
      </x:c>
      <x:c r="B169" s="20" t="n">
        <x:v>3</x:v>
      </x:c>
      <x:c r="C169" s="20" t="s">
        <x:v>68</x:v>
      </x:c>
      <x:c r="D169" s="20" t="s">
        <x:v>69</x:v>
      </x:c>
      <x:c r="E169" s="20" t="s">
        <x:v>642</x:v>
      </x:c>
      <x:c r="F169" s="20" t="s">
        <x:v>100</x:v>
      </x:c>
      <x:c r="G169" s="20"/>
      <x:c r="H169" s="20"/>
      <x:c r="I169" s="20" t="s">
        <x:v>100</x:v>
      </x:c>
      <x:c r="J169" s="20" t="s">
        <x:v>101</x:v>
      </x:c>
      <x:c r="K169" s="20" t="s">
        <x:v>643</x:v>
      </x:c>
    </x:row>
    <x:row r="170" ht="23.850000381469727" hidden="0">
      <x:c r="A170" s="20" t="s">
        <x:v>644</x:v>
      </x:c>
      <x:c r="B170" s="20" t="n">
        <x:v>4</x:v>
      </x:c>
      <x:c r="C170" s="20" t="s">
        <x:v>68</x:v>
      </x:c>
      <x:c r="D170" s="20" t="s">
        <x:v>69</x:v>
      </x:c>
      <x:c r="E170" s="20" t="s">
        <x:v>642</x:v>
      </x:c>
      <x:c r="F170" s="20" t="s">
        <x:v>100</x:v>
      </x:c>
      <x:c r="G170" s="20" t="s">
        <x:v>645</x:v>
      </x:c>
      <x:c r="H170" s="20" t="s">
        <x:v>105</x:v>
      </x:c>
      <x:c r="I170" s="20" t="s">
        <x:v>100</x:v>
      </x:c>
      <x:c r="J170" s="20" t="s">
        <x:v>101</x:v>
      </x:c>
      <x:c r="K170" s="20" t="s">
        <x:v>646</x:v>
      </x:c>
    </x:row>
    <x:row r="171" ht="23.850000381469727" hidden="0">
      <x:c r="A171" s="20" t="s">
        <x:v>647</x:v>
      </x:c>
      <x:c r="B171" s="20" t="n">
        <x:v>4</x:v>
      </x:c>
      <x:c r="C171" s="20" t="s">
        <x:v>68</x:v>
      </x:c>
      <x:c r="D171" s="20" t="s">
        <x:v>69</x:v>
      </x:c>
      <x:c r="E171" s="20" t="s">
        <x:v>642</x:v>
      </x:c>
      <x:c r="F171" s="20" t="s">
        <x:v>100</x:v>
      </x:c>
      <x:c r="G171" s="20" t="s">
        <x:v>648</x:v>
      </x:c>
      <x:c r="H171" s="20" t="s">
        <x:v>109</x:v>
      </x:c>
      <x:c r="I171" s="20" t="s">
        <x:v>100</x:v>
      </x:c>
      <x:c r="J171" s="20" t="s">
        <x:v>101</x:v>
      </x:c>
      <x:c r="K171" s="20" t="s">
        <x:v>649</x:v>
      </x:c>
    </x:row>
    <x:row r="172" ht="35.04999923706055" hidden="0">
      <x:c r="A172" s="20" t="s">
        <x:v>650</x:v>
      </x:c>
      <x:c r="B172" s="20" t="n">
        <x:v>3</x:v>
      </x:c>
      <x:c r="C172" s="20" t="s">
        <x:v>68</x:v>
      </x:c>
      <x:c r="D172" s="20" t="s">
        <x:v>69</x:v>
      </x:c>
      <x:c r="E172" s="20" t="s">
        <x:v>651</x:v>
      </x:c>
      <x:c r="F172" s="20" t="s">
        <x:v>113</x:v>
      </x:c>
      <x:c r="G172" s="20"/>
      <x:c r="H172" s="20"/>
      <x:c r="I172" s="20" t="s">
        <x:v>113</x:v>
      </x:c>
      <x:c r="J172" s="20" t="s">
        <x:v>114</x:v>
      </x:c>
      <x:c r="K172" s="20" t="s">
        <x:v>652</x:v>
      </x:c>
    </x:row>
    <x:row r="173" ht="23.850000381469727" hidden="0">
      <x:c r="A173" s="20" t="s">
        <x:v>653</x:v>
      </x:c>
      <x:c r="B173" s="20" t="n">
        <x:v>4</x:v>
      </x:c>
      <x:c r="C173" s="20" t="s">
        <x:v>68</x:v>
      </x:c>
      <x:c r="D173" s="20" t="s">
        <x:v>69</x:v>
      </x:c>
      <x:c r="E173" s="20" t="s">
        <x:v>651</x:v>
      </x:c>
      <x:c r="F173" s="20" t="s">
        <x:v>113</x:v>
      </x:c>
      <x:c r="G173" s="20" t="s">
        <x:v>654</x:v>
      </x:c>
      <x:c r="H173" s="20" t="s">
        <x:v>118</x:v>
      </x:c>
      <x:c r="I173" s="20" t="s">
        <x:v>113</x:v>
      </x:c>
      <x:c r="J173" s="20" t="s">
        <x:v>114</x:v>
      </x:c>
      <x:c r="K173" s="20" t="s">
        <x:v>655</x:v>
      </x:c>
    </x:row>
    <x:row r="174" ht="23.850000381469727" hidden="0">
      <x:c r="A174" s="20" t="s">
        <x:v>656</x:v>
      </x:c>
      <x:c r="B174" s="20" t="n">
        <x:v>4</x:v>
      </x:c>
      <x:c r="C174" s="20" t="s">
        <x:v>68</x:v>
      </x:c>
      <x:c r="D174" s="20" t="s">
        <x:v>69</x:v>
      </x:c>
      <x:c r="E174" s="20" t="s">
        <x:v>651</x:v>
      </x:c>
      <x:c r="F174" s="20" t="s">
        <x:v>113</x:v>
      </x:c>
      <x:c r="G174" s="20" t="s">
        <x:v>657</x:v>
      </x:c>
      <x:c r="H174" s="20" t="s">
        <x:v>122</x:v>
      </x:c>
      <x:c r="I174" s="20" t="s">
        <x:v>113</x:v>
      </x:c>
      <x:c r="J174" s="20" t="s">
        <x:v>114</x:v>
      </x:c>
      <x:c r="K174" s="20" t="s">
        <x:v>658</x:v>
      </x:c>
    </x:row>
    <x:row r="175" ht="23.850000381469727" hidden="0">
      <x:c r="A175" s="20" t="s">
        <x:v>659</x:v>
      </x:c>
      <x:c r="B175" s="20" t="n">
        <x:v>3</x:v>
      </x:c>
      <x:c r="C175" s="20" t="s">
        <x:v>68</x:v>
      </x:c>
      <x:c r="D175" s="20" t="s">
        <x:v>69</x:v>
      </x:c>
      <x:c r="E175" s="20" t="s">
        <x:v>660</x:v>
      </x:c>
      <x:c r="F175" s="20" t="s">
        <x:v>126</x:v>
      </x:c>
      <x:c r="G175" s="20"/>
      <x:c r="H175" s="20"/>
      <x:c r="I175" s="20" t="s">
        <x:v>126</x:v>
      </x:c>
      <x:c r="J175" s="20" t="s">
        <x:v>127</x:v>
      </x:c>
      <x:c r="K175" s="20" t="s">
        <x:v>661</x:v>
      </x:c>
    </x:row>
    <x:row r="176" ht="23.850000381469727" hidden="0">
      <x:c r="A176" s="20" t="s">
        <x:v>662</x:v>
      </x:c>
      <x:c r="B176" s="20" t="n">
        <x:v>4</x:v>
      </x:c>
      <x:c r="C176" s="20" t="s">
        <x:v>68</x:v>
      </x:c>
      <x:c r="D176" s="20" t="s">
        <x:v>69</x:v>
      </x:c>
      <x:c r="E176" s="20" t="s">
        <x:v>660</x:v>
      </x:c>
      <x:c r="F176" s="20" t="s">
        <x:v>126</x:v>
      </x:c>
      <x:c r="G176" s="20" t="s">
        <x:v>663</x:v>
      </x:c>
      <x:c r="H176" s="20" t="s">
        <x:v>131</x:v>
      </x:c>
      <x:c r="I176" s="20" t="s">
        <x:v>126</x:v>
      </x:c>
      <x:c r="J176" s="20" t="s">
        <x:v>127</x:v>
      </x:c>
      <x:c r="K176" s="20" t="s">
        <x:v>664</x:v>
      </x:c>
    </x:row>
    <x:row r="177" ht="23.850000381469727" hidden="0">
      <x:c r="A177" s="20" t="s">
        <x:v>665</x:v>
      </x:c>
      <x:c r="B177" s="20" t="n">
        <x:v>4</x:v>
      </x:c>
      <x:c r="C177" s="20" t="s">
        <x:v>68</x:v>
      </x:c>
      <x:c r="D177" s="20" t="s">
        <x:v>69</x:v>
      </x:c>
      <x:c r="E177" s="20" t="s">
        <x:v>660</x:v>
      </x:c>
      <x:c r="F177" s="20" t="s">
        <x:v>126</x:v>
      </x:c>
      <x:c r="G177" s="20" t="s">
        <x:v>666</x:v>
      </x:c>
      <x:c r="H177" s="20" t="s">
        <x:v>135</x:v>
      </x:c>
      <x:c r="I177" s="20" t="s">
        <x:v>126</x:v>
      </x:c>
      <x:c r="J177" s="20" t="s">
        <x:v>127</x:v>
      </x:c>
      <x:c r="K177" s="20" t="s">
        <x:v>667</x:v>
      </x:c>
    </x:row>
    <x:row r="178" ht="23.850000381469727" hidden="0">
      <x:c r="A178" s="20" t="s">
        <x:v>668</x:v>
      </x:c>
      <x:c r="B178" s="20" t="n">
        <x:v>3</x:v>
      </x:c>
      <x:c r="C178" s="20" t="s">
        <x:v>68</x:v>
      </x:c>
      <x:c r="D178" s="20" t="s">
        <x:v>69</x:v>
      </x:c>
      <x:c r="E178" s="20" t="s">
        <x:v>669</x:v>
      </x:c>
      <x:c r="F178" s="20" t="s">
        <x:v>139</x:v>
      </x:c>
      <x:c r="G178" s="20"/>
      <x:c r="H178" s="20"/>
      <x:c r="I178" s="20" t="s">
        <x:v>139</x:v>
      </x:c>
      <x:c r="J178" s="20" t="s">
        <x:v>140</x:v>
      </x:c>
      <x:c r="K178" s="20" t="s">
        <x:v>670</x:v>
      </x:c>
    </x:row>
    <x:row r="179" ht="23.850000381469727" hidden="0">
      <x:c r="A179" s="20" t="s">
        <x:v>671</x:v>
      </x:c>
      <x:c r="B179" s="20" t="n">
        <x:v>4</x:v>
      </x:c>
      <x:c r="C179" s="20" t="s">
        <x:v>68</x:v>
      </x:c>
      <x:c r="D179" s="20" t="s">
        <x:v>69</x:v>
      </x:c>
      <x:c r="E179" s="20" t="s">
        <x:v>669</x:v>
      </x:c>
      <x:c r="F179" s="20" t="s">
        <x:v>139</x:v>
      </x:c>
      <x:c r="G179" s="20" t="s">
        <x:v>672</x:v>
      </x:c>
      <x:c r="H179" s="20" t="s">
        <x:v>673</x:v>
      </x:c>
      <x:c r="I179" s="20" t="s">
        <x:v>139</x:v>
      </x:c>
      <x:c r="J179" s="20" t="s">
        <x:v>140</x:v>
      </x:c>
      <x:c r="K179" s="20" t="s">
        <x:v>674</x:v>
      </x:c>
    </x:row>
    <x:row r="180" ht="23.850000381469727" hidden="0">
      <x:c r="A180" s="20" t="s">
        <x:v>675</x:v>
      </x:c>
      <x:c r="B180" s="20" t="n">
        <x:v>4</x:v>
      </x:c>
      <x:c r="C180" s="20" t="s">
        <x:v>68</x:v>
      </x:c>
      <x:c r="D180" s="20" t="s">
        <x:v>69</x:v>
      </x:c>
      <x:c r="E180" s="20" t="s">
        <x:v>669</x:v>
      </x:c>
      <x:c r="F180" s="20" t="s">
        <x:v>139</x:v>
      </x:c>
      <x:c r="G180" s="20" t="s">
        <x:v>676</x:v>
      </x:c>
      <x:c r="H180" s="20" t="s">
        <x:v>677</x:v>
      </x:c>
      <x:c r="I180" s="20" t="s">
        <x:v>139</x:v>
      </x:c>
      <x:c r="J180" s="20" t="s">
        <x:v>140</x:v>
      </x:c>
      <x:c r="K180" s="20" t="s">
        <x:v>678</x:v>
      </x:c>
    </x:row>
    <x:row r="181" ht="23.850000381469727" hidden="0">
      <x:c r="A181" s="20" t="s">
        <x:v>679</x:v>
      </x:c>
      <x:c r="B181" s="20" t="n">
        <x:v>4</x:v>
      </x:c>
      <x:c r="C181" s="20" t="s">
        <x:v>68</x:v>
      </x:c>
      <x:c r="D181" s="20" t="s">
        <x:v>69</x:v>
      </x:c>
      <x:c r="E181" s="20" t="s">
        <x:v>669</x:v>
      </x:c>
      <x:c r="F181" s="20" t="s">
        <x:v>139</x:v>
      </x:c>
      <x:c r="G181" s="20" t="s">
        <x:v>680</x:v>
      </x:c>
      <x:c r="H181" s="20" t="s">
        <x:v>681</x:v>
      </x:c>
      <x:c r="I181" s="20" t="s">
        <x:v>139</x:v>
      </x:c>
      <x:c r="J181" s="20" t="s">
        <x:v>140</x:v>
      </x:c>
      <x:c r="K181" s="20" t="s">
        <x:v>682</x:v>
      </x:c>
    </x:row>
    <x:row r="182" ht="35.04999923706055" hidden="0">
      <x:c r="A182" s="20" t="s">
        <x:v>683</x:v>
      </x:c>
      <x:c r="B182" s="20" t="n">
        <x:v>3</x:v>
      </x:c>
      <x:c r="C182" s="20" t="s">
        <x:v>68</x:v>
      </x:c>
      <x:c r="D182" s="20" t="s">
        <x:v>69</x:v>
      </x:c>
      <x:c r="E182" s="20" t="s">
        <x:v>684</x:v>
      </x:c>
      <x:c r="F182" s="20" t="s">
        <x:v>156</x:v>
      </x:c>
      <x:c r="G182" s="20"/>
      <x:c r="H182" s="20"/>
      <x:c r="I182" s="20" t="s">
        <x:v>156</x:v>
      </x:c>
      <x:c r="J182" s="20" t="s">
        <x:v>157</x:v>
      </x:c>
      <x:c r="K182" s="20" t="s">
        <x:v>685</x:v>
      </x:c>
    </x:row>
    <x:row r="183" ht="23.850000381469727" hidden="0">
      <x:c r="A183" s="20" t="s">
        <x:v>686</x:v>
      </x:c>
      <x:c r="B183" s="20" t="n">
        <x:v>4</x:v>
      </x:c>
      <x:c r="C183" s="20" t="s">
        <x:v>68</x:v>
      </x:c>
      <x:c r="D183" s="20" t="s">
        <x:v>69</x:v>
      </x:c>
      <x:c r="E183" s="20" t="s">
        <x:v>684</x:v>
      </x:c>
      <x:c r="F183" s="20" t="s">
        <x:v>156</x:v>
      </x:c>
      <x:c r="G183" s="20" t="s">
        <x:v>687</x:v>
      </x:c>
      <x:c r="H183" s="20" t="s">
        <x:v>161</x:v>
      </x:c>
      <x:c r="I183" s="20" t="s">
        <x:v>156</x:v>
      </x:c>
      <x:c r="J183" s="20" t="s">
        <x:v>157</x:v>
      </x:c>
      <x:c r="K183" s="20" t="s">
        <x:v>688</x:v>
      </x:c>
    </x:row>
    <x:row r="184" ht="35.04999923706055" hidden="0">
      <x:c r="A184" s="20" t="s">
        <x:v>689</x:v>
      </x:c>
      <x:c r="B184" s="20" t="n">
        <x:v>3</x:v>
      </x:c>
      <x:c r="C184" s="20" t="s">
        <x:v>68</x:v>
      </x:c>
      <x:c r="D184" s="20" t="s">
        <x:v>69</x:v>
      </x:c>
      <x:c r="E184" s="20" t="s">
        <x:v>690</x:v>
      </x:c>
      <x:c r="F184" s="20" t="s">
        <x:v>165</x:v>
      </x:c>
      <x:c r="G184" s="20"/>
      <x:c r="H184" s="20"/>
      <x:c r="I184" s="20" t="s">
        <x:v>165</x:v>
      </x:c>
      <x:c r="J184" s="20" t="s">
        <x:v>166</x:v>
      </x:c>
      <x:c r="K184" s="20" t="s">
        <x:v>691</x:v>
      </x:c>
    </x:row>
    <x:row r="185" ht="23.850000381469727" hidden="0">
      <x:c r="A185" s="20" t="s">
        <x:v>692</x:v>
      </x:c>
      <x:c r="B185" s="20" t="n">
        <x:v>4</x:v>
      </x:c>
      <x:c r="C185" s="20" t="s">
        <x:v>68</x:v>
      </x:c>
      <x:c r="D185" s="20" t="s">
        <x:v>69</x:v>
      </x:c>
      <x:c r="E185" s="20" t="s">
        <x:v>690</x:v>
      </x:c>
      <x:c r="F185" s="20" t="s">
        <x:v>165</x:v>
      </x:c>
      <x:c r="G185" s="20" t="s">
        <x:v>693</x:v>
      </x:c>
      <x:c r="H185" s="20" t="s">
        <x:v>170</x:v>
      </x:c>
      <x:c r="I185" s="20" t="s">
        <x:v>165</x:v>
      </x:c>
      <x:c r="J185" s="20" t="s">
        <x:v>166</x:v>
      </x:c>
      <x:c r="K185" s="20" t="s">
        <x:v>694</x:v>
      </x:c>
    </x:row>
    <x:row r="186" ht="23.850000381469727" hidden="0">
      <x:c r="A186" s="20" t="s">
        <x:v>695</x:v>
      </x:c>
      <x:c r="B186" s="20" t="n">
        <x:v>4</x:v>
      </x:c>
      <x:c r="C186" s="20" t="s">
        <x:v>68</x:v>
      </x:c>
      <x:c r="D186" s="20" t="s">
        <x:v>69</x:v>
      </x:c>
      <x:c r="E186" s="20" t="s">
        <x:v>690</x:v>
      </x:c>
      <x:c r="F186" s="20" t="s">
        <x:v>165</x:v>
      </x:c>
      <x:c r="G186" s="20" t="s">
        <x:v>696</x:v>
      </x:c>
      <x:c r="H186" s="20" t="s">
        <x:v>174</x:v>
      </x:c>
      <x:c r="I186" s="20" t="s">
        <x:v>165</x:v>
      </x:c>
      <x:c r="J186" s="20" t="s">
        <x:v>166</x:v>
      </x:c>
      <x:c r="K186" s="20" t="s">
        <x:v>697</x:v>
      </x:c>
    </x:row>
    <x:row r="187" ht="35.04999923706055" hidden="0">
      <x:c r="A187" s="20" t="s">
        <x:v>698</x:v>
      </x:c>
      <x:c r="B187" s="20" t="n">
        <x:v>3</x:v>
      </x:c>
      <x:c r="C187" s="20" t="s">
        <x:v>72</x:v>
      </x:c>
      <x:c r="D187" s="20" t="s">
        <x:v>73</x:v>
      </x:c>
      <x:c r="E187" s="20" t="s">
        <x:v>699</x:v>
      </x:c>
      <x:c r="F187" s="20" t="s">
        <x:v>100</x:v>
      </x:c>
      <x:c r="G187" s="20"/>
      <x:c r="H187" s="20"/>
      <x:c r="I187" s="20" t="s">
        <x:v>100</x:v>
      </x:c>
      <x:c r="J187" s="20" t="s">
        <x:v>101</x:v>
      </x:c>
      <x:c r="K187" s="20" t="s">
        <x:v>700</x:v>
      </x:c>
    </x:row>
    <x:row r="188" ht="23.850000381469727" hidden="0">
      <x:c r="A188" s="20" t="s">
        <x:v>701</x:v>
      </x:c>
      <x:c r="B188" s="20" t="n">
        <x:v>4</x:v>
      </x:c>
      <x:c r="C188" s="20" t="s">
        <x:v>72</x:v>
      </x:c>
      <x:c r="D188" s="20" t="s">
        <x:v>73</x:v>
      </x:c>
      <x:c r="E188" s="20" t="s">
        <x:v>699</x:v>
      </x:c>
      <x:c r="F188" s="20" t="s">
        <x:v>100</x:v>
      </x:c>
      <x:c r="G188" s="20" t="s">
        <x:v>702</x:v>
      </x:c>
      <x:c r="H188" s="20" t="s">
        <x:v>105</x:v>
      </x:c>
      <x:c r="I188" s="20" t="s">
        <x:v>100</x:v>
      </x:c>
      <x:c r="J188" s="20" t="s">
        <x:v>101</x:v>
      </x:c>
      <x:c r="K188" s="20" t="s">
        <x:v>703</x:v>
      </x:c>
    </x:row>
    <x:row r="189" ht="23.850000381469727" hidden="0">
      <x:c r="A189" s="20" t="s">
        <x:v>704</x:v>
      </x:c>
      <x:c r="B189" s="20" t="n">
        <x:v>4</x:v>
      </x:c>
      <x:c r="C189" s="20" t="s">
        <x:v>72</x:v>
      </x:c>
      <x:c r="D189" s="20" t="s">
        <x:v>73</x:v>
      </x:c>
      <x:c r="E189" s="20" t="s">
        <x:v>699</x:v>
      </x:c>
      <x:c r="F189" s="20" t="s">
        <x:v>100</x:v>
      </x:c>
      <x:c r="G189" s="20" t="s">
        <x:v>705</x:v>
      </x:c>
      <x:c r="H189" s="20" t="s">
        <x:v>109</x:v>
      </x:c>
      <x:c r="I189" s="20" t="s">
        <x:v>100</x:v>
      </x:c>
      <x:c r="J189" s="20" t="s">
        <x:v>101</x:v>
      </x:c>
      <x:c r="K189" s="20" t="s">
        <x:v>706</x:v>
      </x:c>
    </x:row>
    <x:row r="190" ht="35.04999923706055" hidden="0">
      <x:c r="A190" s="20" t="s">
        <x:v>707</x:v>
      </x:c>
      <x:c r="B190" s="20" t="n">
        <x:v>3</x:v>
      </x:c>
      <x:c r="C190" s="20" t="s">
        <x:v>72</x:v>
      </x:c>
      <x:c r="D190" s="20" t="s">
        <x:v>73</x:v>
      </x:c>
      <x:c r="E190" s="20" t="s">
        <x:v>708</x:v>
      </x:c>
      <x:c r="F190" s="20" t="s">
        <x:v>113</x:v>
      </x:c>
      <x:c r="G190" s="20"/>
      <x:c r="H190" s="20"/>
      <x:c r="I190" s="20" t="s">
        <x:v>113</x:v>
      </x:c>
      <x:c r="J190" s="20" t="s">
        <x:v>114</x:v>
      </x:c>
      <x:c r="K190" s="20" t="s">
        <x:v>709</x:v>
      </x:c>
    </x:row>
    <x:row r="191" ht="23.850000381469727" hidden="0">
      <x:c r="A191" s="20" t="s">
        <x:v>710</x:v>
      </x:c>
      <x:c r="B191" s="20" t="n">
        <x:v>4</x:v>
      </x:c>
      <x:c r="C191" s="20" t="s">
        <x:v>72</x:v>
      </x:c>
      <x:c r="D191" s="20" t="s">
        <x:v>73</x:v>
      </x:c>
      <x:c r="E191" s="20" t="s">
        <x:v>708</x:v>
      </x:c>
      <x:c r="F191" s="20" t="s">
        <x:v>113</x:v>
      </x:c>
      <x:c r="G191" s="20" t="s">
        <x:v>711</x:v>
      </x:c>
      <x:c r="H191" s="20" t="s">
        <x:v>118</x:v>
      </x:c>
      <x:c r="I191" s="20" t="s">
        <x:v>113</x:v>
      </x:c>
      <x:c r="J191" s="20" t="s">
        <x:v>114</x:v>
      </x:c>
      <x:c r="K191" s="20" t="s">
        <x:v>712</x:v>
      </x:c>
    </x:row>
    <x:row r="192" ht="23.850000381469727" hidden="0">
      <x:c r="A192" s="20" t="s">
        <x:v>713</x:v>
      </x:c>
      <x:c r="B192" s="20" t="n">
        <x:v>4</x:v>
      </x:c>
      <x:c r="C192" s="20" t="s">
        <x:v>72</x:v>
      </x:c>
      <x:c r="D192" s="20" t="s">
        <x:v>73</x:v>
      </x:c>
      <x:c r="E192" s="20" t="s">
        <x:v>708</x:v>
      </x:c>
      <x:c r="F192" s="20" t="s">
        <x:v>113</x:v>
      </x:c>
      <x:c r="G192" s="20" t="s">
        <x:v>714</x:v>
      </x:c>
      <x:c r="H192" s="20" t="s">
        <x:v>122</x:v>
      </x:c>
      <x:c r="I192" s="20" t="s">
        <x:v>113</x:v>
      </x:c>
      <x:c r="J192" s="20" t="s">
        <x:v>114</x:v>
      </x:c>
      <x:c r="K192" s="20" t="s">
        <x:v>715</x:v>
      </x:c>
    </x:row>
    <x:row r="193" ht="23.850000381469727" hidden="0">
      <x:c r="A193" s="20" t="s">
        <x:v>716</x:v>
      </x:c>
      <x:c r="B193" s="20" t="n">
        <x:v>3</x:v>
      </x:c>
      <x:c r="C193" s="20" t="s">
        <x:v>72</x:v>
      </x:c>
      <x:c r="D193" s="20" t="s">
        <x:v>73</x:v>
      </x:c>
      <x:c r="E193" s="20" t="s">
        <x:v>717</x:v>
      </x:c>
      <x:c r="F193" s="20" t="s">
        <x:v>126</x:v>
      </x:c>
      <x:c r="G193" s="20"/>
      <x:c r="H193" s="20"/>
      <x:c r="I193" s="20" t="s">
        <x:v>126</x:v>
      </x:c>
      <x:c r="J193" s="20" t="s">
        <x:v>127</x:v>
      </x:c>
      <x:c r="K193" s="20" t="s">
        <x:v>718</x:v>
      </x:c>
    </x:row>
    <x:row r="194" ht="23.850000381469727" hidden="0">
      <x:c r="A194" s="20" t="s">
        <x:v>719</x:v>
      </x:c>
      <x:c r="B194" s="20" t="n">
        <x:v>4</x:v>
      </x:c>
      <x:c r="C194" s="20" t="s">
        <x:v>72</x:v>
      </x:c>
      <x:c r="D194" s="20" t="s">
        <x:v>73</x:v>
      </x:c>
      <x:c r="E194" s="20" t="s">
        <x:v>717</x:v>
      </x:c>
      <x:c r="F194" s="20" t="s">
        <x:v>126</x:v>
      </x:c>
      <x:c r="G194" s="20" t="s">
        <x:v>720</x:v>
      </x:c>
      <x:c r="H194" s="20" t="s">
        <x:v>131</x:v>
      </x:c>
      <x:c r="I194" s="20" t="s">
        <x:v>126</x:v>
      </x:c>
      <x:c r="J194" s="20" t="s">
        <x:v>127</x:v>
      </x:c>
      <x:c r="K194" s="20" t="s">
        <x:v>721</x:v>
      </x:c>
    </x:row>
    <x:row r="195" ht="23.850000381469727" hidden="0">
      <x:c r="A195" s="20" t="s">
        <x:v>722</x:v>
      </x:c>
      <x:c r="B195" s="20" t="n">
        <x:v>4</x:v>
      </x:c>
      <x:c r="C195" s="20" t="s">
        <x:v>72</x:v>
      </x:c>
      <x:c r="D195" s="20" t="s">
        <x:v>73</x:v>
      </x:c>
      <x:c r="E195" s="20" t="s">
        <x:v>717</x:v>
      </x:c>
      <x:c r="F195" s="20" t="s">
        <x:v>126</x:v>
      </x:c>
      <x:c r="G195" s="20" t="s">
        <x:v>723</x:v>
      </x:c>
      <x:c r="H195" s="20" t="s">
        <x:v>135</x:v>
      </x:c>
      <x:c r="I195" s="20" t="s">
        <x:v>126</x:v>
      </x:c>
      <x:c r="J195" s="20" t="s">
        <x:v>127</x:v>
      </x:c>
      <x:c r="K195" s="20" t="s">
        <x:v>724</x:v>
      </x:c>
    </x:row>
    <x:row r="196" ht="23.850000381469727" hidden="0">
      <x:c r="A196" s="20" t="s">
        <x:v>725</x:v>
      </x:c>
      <x:c r="B196" s="20" t="n">
        <x:v>3</x:v>
      </x:c>
      <x:c r="C196" s="20" t="s">
        <x:v>72</x:v>
      </x:c>
      <x:c r="D196" s="20" t="s">
        <x:v>73</x:v>
      </x:c>
      <x:c r="E196" s="20" t="s">
        <x:v>726</x:v>
      </x:c>
      <x:c r="F196" s="20" t="s">
        <x:v>139</x:v>
      </x:c>
      <x:c r="G196" s="20"/>
      <x:c r="H196" s="20"/>
      <x:c r="I196" s="20" t="s">
        <x:v>139</x:v>
      </x:c>
      <x:c r="J196" s="20" t="s">
        <x:v>140</x:v>
      </x:c>
      <x:c r="K196" s="20" t="s">
        <x:v>727</x:v>
      </x:c>
    </x:row>
    <x:row r="197" ht="23.850000381469727" hidden="0">
      <x:c r="A197" s="20" t="s">
        <x:v>728</x:v>
      </x:c>
      <x:c r="B197" s="20" t="n">
        <x:v>4</x:v>
      </x:c>
      <x:c r="C197" s="20" t="s">
        <x:v>72</x:v>
      </x:c>
      <x:c r="D197" s="20" t="s">
        <x:v>73</x:v>
      </x:c>
      <x:c r="E197" s="20" t="s">
        <x:v>726</x:v>
      </x:c>
      <x:c r="F197" s="20" t="s">
        <x:v>139</x:v>
      </x:c>
      <x:c r="G197" s="20" t="s">
        <x:v>729</x:v>
      </x:c>
      <x:c r="H197" s="20" t="s">
        <x:v>730</x:v>
      </x:c>
      <x:c r="I197" s="20" t="s">
        <x:v>139</x:v>
      </x:c>
      <x:c r="J197" s="20" t="s">
        <x:v>140</x:v>
      </x:c>
      <x:c r="K197" s="20" t="s">
        <x:v>731</x:v>
      </x:c>
    </x:row>
    <x:row r="198" ht="23.850000381469727" hidden="0">
      <x:c r="A198" s="20" t="s">
        <x:v>732</x:v>
      </x:c>
      <x:c r="B198" s="20" t="n">
        <x:v>4</x:v>
      </x:c>
      <x:c r="C198" s="20" t="s">
        <x:v>72</x:v>
      </x:c>
      <x:c r="D198" s="20" t="s">
        <x:v>73</x:v>
      </x:c>
      <x:c r="E198" s="20" t="s">
        <x:v>726</x:v>
      </x:c>
      <x:c r="F198" s="20" t="s">
        <x:v>139</x:v>
      </x:c>
      <x:c r="G198" s="20" t="s">
        <x:v>733</x:v>
      </x:c>
      <x:c r="H198" s="20" t="s">
        <x:v>734</x:v>
      </x:c>
      <x:c r="I198" s="20" t="s">
        <x:v>139</x:v>
      </x:c>
      <x:c r="J198" s="20" t="s">
        <x:v>140</x:v>
      </x:c>
      <x:c r="K198" s="20" t="s">
        <x:v>735</x:v>
      </x:c>
    </x:row>
    <x:row r="199" ht="23.850000381469727" hidden="0">
      <x:c r="A199" s="20" t="s">
        <x:v>736</x:v>
      </x:c>
      <x:c r="B199" s="20" t="n">
        <x:v>4</x:v>
      </x:c>
      <x:c r="C199" s="20" t="s">
        <x:v>72</x:v>
      </x:c>
      <x:c r="D199" s="20" t="s">
        <x:v>73</x:v>
      </x:c>
      <x:c r="E199" s="20" t="s">
        <x:v>726</x:v>
      </x:c>
      <x:c r="F199" s="20" t="s">
        <x:v>139</x:v>
      </x:c>
      <x:c r="G199" s="20" t="s">
        <x:v>737</x:v>
      </x:c>
      <x:c r="H199" s="20" t="s">
        <x:v>738</x:v>
      </x:c>
      <x:c r="I199" s="20" t="s">
        <x:v>139</x:v>
      </x:c>
      <x:c r="J199" s="20" t="s">
        <x:v>140</x:v>
      </x:c>
      <x:c r="K199" s="20" t="s">
        <x:v>739</x:v>
      </x:c>
    </x:row>
    <x:row r="200" ht="35.04999923706055" hidden="0">
      <x:c r="A200" s="20" t="s">
        <x:v>740</x:v>
      </x:c>
      <x:c r="B200" s="20" t="n">
        <x:v>3</x:v>
      </x:c>
      <x:c r="C200" s="20" t="s">
        <x:v>72</x:v>
      </x:c>
      <x:c r="D200" s="20" t="s">
        <x:v>73</x:v>
      </x:c>
      <x:c r="E200" s="20" t="s">
        <x:v>741</x:v>
      </x:c>
      <x:c r="F200" s="20" t="s">
        <x:v>156</x:v>
      </x:c>
      <x:c r="G200" s="20"/>
      <x:c r="H200" s="20"/>
      <x:c r="I200" s="20" t="s">
        <x:v>156</x:v>
      </x:c>
      <x:c r="J200" s="20" t="s">
        <x:v>157</x:v>
      </x:c>
      <x:c r="K200" s="20" t="s">
        <x:v>742</x:v>
      </x:c>
    </x:row>
    <x:row r="201" ht="23.850000381469727" hidden="0">
      <x:c r="A201" s="20" t="s">
        <x:v>743</x:v>
      </x:c>
      <x:c r="B201" s="20" t="n">
        <x:v>4</x:v>
      </x:c>
      <x:c r="C201" s="20" t="s">
        <x:v>72</x:v>
      </x:c>
      <x:c r="D201" s="20" t="s">
        <x:v>73</x:v>
      </x:c>
      <x:c r="E201" s="20" t="s">
        <x:v>741</x:v>
      </x:c>
      <x:c r="F201" s="20" t="s">
        <x:v>156</x:v>
      </x:c>
      <x:c r="G201" s="20" t="s">
        <x:v>744</x:v>
      </x:c>
      <x:c r="H201" s="20" t="s">
        <x:v>161</x:v>
      </x:c>
      <x:c r="I201" s="20" t="s">
        <x:v>156</x:v>
      </x:c>
      <x:c r="J201" s="20" t="s">
        <x:v>157</x:v>
      </x:c>
      <x:c r="K201" s="20" t="s">
        <x:v>745</x:v>
      </x:c>
    </x:row>
    <x:row r="202" ht="35.04999923706055" hidden="0">
      <x:c r="A202" s="20" t="s">
        <x:v>746</x:v>
      </x:c>
      <x:c r="B202" s="20" t="n">
        <x:v>3</x:v>
      </x:c>
      <x:c r="C202" s="20" t="s">
        <x:v>72</x:v>
      </x:c>
      <x:c r="D202" s="20" t="s">
        <x:v>73</x:v>
      </x:c>
      <x:c r="E202" s="20" t="s">
        <x:v>747</x:v>
      </x:c>
      <x:c r="F202" s="20" t="s">
        <x:v>165</x:v>
      </x:c>
      <x:c r="G202" s="20"/>
      <x:c r="H202" s="20"/>
      <x:c r="I202" s="20" t="s">
        <x:v>165</x:v>
      </x:c>
      <x:c r="J202" s="20" t="s">
        <x:v>166</x:v>
      </x:c>
      <x:c r="K202" s="20" t="s">
        <x:v>748</x:v>
      </x:c>
    </x:row>
    <x:row r="203" ht="23.850000381469727" hidden="0">
      <x:c r="A203" s="20" t="s">
        <x:v>749</x:v>
      </x:c>
      <x:c r="B203" s="20" t="n">
        <x:v>4</x:v>
      </x:c>
      <x:c r="C203" s="20" t="s">
        <x:v>72</x:v>
      </x:c>
      <x:c r="D203" s="20" t="s">
        <x:v>73</x:v>
      </x:c>
      <x:c r="E203" s="20" t="s">
        <x:v>747</x:v>
      </x:c>
      <x:c r="F203" s="20" t="s">
        <x:v>165</x:v>
      </x:c>
      <x:c r="G203" s="20" t="s">
        <x:v>750</x:v>
      </x:c>
      <x:c r="H203" s="20" t="s">
        <x:v>170</x:v>
      </x:c>
      <x:c r="I203" s="20" t="s">
        <x:v>165</x:v>
      </x:c>
      <x:c r="J203" s="20" t="s">
        <x:v>166</x:v>
      </x:c>
      <x:c r="K203" s="20" t="s">
        <x:v>751</x:v>
      </x:c>
    </x:row>
    <x:row r="204" ht="23.850000381469727" hidden="0">
      <x:c r="A204" s="20" t="s">
        <x:v>752</x:v>
      </x:c>
      <x:c r="B204" s="20" t="n">
        <x:v>4</x:v>
      </x:c>
      <x:c r="C204" s="20" t="s">
        <x:v>72</x:v>
      </x:c>
      <x:c r="D204" s="20" t="s">
        <x:v>73</x:v>
      </x:c>
      <x:c r="E204" s="20" t="s">
        <x:v>747</x:v>
      </x:c>
      <x:c r="F204" s="20" t="s">
        <x:v>165</x:v>
      </x:c>
      <x:c r="G204" s="20" t="s">
        <x:v>753</x:v>
      </x:c>
      <x:c r="H204" s="20" t="s">
        <x:v>174</x:v>
      </x:c>
      <x:c r="I204" s="20" t="s">
        <x:v>165</x:v>
      </x:c>
      <x:c r="J204" s="20" t="s">
        <x:v>166</x:v>
      </x:c>
      <x:c r="K204" s="20" t="s">
        <x:v>754</x:v>
      </x:c>
    </x:row>
    <x:row r="205" ht="46.25" hidden="0">
      <x:c r="A205" s="20" t="s">
        <x:v>755</x:v>
      </x:c>
      <x:c r="B205" s="20" t="n">
        <x:v>3</x:v>
      </x:c>
      <x:c r="C205" s="20" t="s">
        <x:v>74</x:v>
      </x:c>
      <x:c r="D205" s="20" t="s">
        <x:v>75</x:v>
      </x:c>
      <x:c r="E205" s="20" t="s">
        <x:v>756</x:v>
      </x:c>
      <x:c r="F205" s="20" t="s">
        <x:v>757</x:v>
      </x:c>
      <x:c r="G205" s="20"/>
      <x:c r="H205" s="20"/>
      <x:c r="I205" s="20" t="s">
        <x:v>100</x:v>
      </x:c>
      <x:c r="J205" s="20" t="s">
        <x:v>77</x:v>
      </x:c>
      <x:c r="K205" s="20" t="s">
        <x:v>758</x:v>
      </x:c>
    </x:row>
    <x:row r="206" ht="35.04999923706055" hidden="0">
      <x:c r="A206" s="20" t="s">
        <x:v>759</x:v>
      </x:c>
      <x:c r="B206" s="20" t="n">
        <x:v>4</x:v>
      </x:c>
      <x:c r="C206" s="20" t="s">
        <x:v>74</x:v>
      </x:c>
      <x:c r="D206" s="20" t="s">
        <x:v>75</x:v>
      </x:c>
      <x:c r="E206" s="20" t="s">
        <x:v>756</x:v>
      </x:c>
      <x:c r="F206" s="20" t="s">
        <x:v>757</x:v>
      </x:c>
      <x:c r="G206" s="20" t="s">
        <x:v>760</x:v>
      </x:c>
      <x:c r="H206" s="20" t="s">
        <x:v>761</x:v>
      </x:c>
      <x:c r="I206" s="20" t="s">
        <x:v>100</x:v>
      </x:c>
      <x:c r="J206" s="20" t="s">
        <x:v>77</x:v>
      </x:c>
      <x:c r="K206" s="20" t="s">
        <x:v>762</x:v>
      </x:c>
    </x:row>
    <x:row r="207" ht="35.04999923706055" hidden="0">
      <x:c r="A207" s="20" t="s">
        <x:v>763</x:v>
      </x:c>
      <x:c r="B207" s="20" t="n">
        <x:v>3</x:v>
      </x:c>
      <x:c r="C207" s="20" t="s">
        <x:v>74</x:v>
      </x:c>
      <x:c r="D207" s="20" t="s">
        <x:v>75</x:v>
      </x:c>
      <x:c r="E207" s="20" t="s">
        <x:v>764</x:v>
      </x:c>
      <x:c r="F207" s="20" t="s">
        <x:v>765</x:v>
      </x:c>
      <x:c r="G207" s="20"/>
      <x:c r="H207" s="20"/>
      <x:c r="I207" s="20" t="s">
        <x:v>113</x:v>
      </x:c>
      <x:c r="J207" s="20" t="s">
        <x:v>77</x:v>
      </x:c>
      <x:c r="K207" s="20" t="s">
        <x:v>766</x:v>
      </x:c>
    </x:row>
    <x:row r="208" ht="35.04999923706055" hidden="0">
      <x:c r="A208" s="20" t="s">
        <x:v>767</x:v>
      </x:c>
      <x:c r="B208" s="20" t="n">
        <x:v>4</x:v>
      </x:c>
      <x:c r="C208" s="20" t="s">
        <x:v>74</x:v>
      </x:c>
      <x:c r="D208" s="20" t="s">
        <x:v>75</x:v>
      </x:c>
      <x:c r="E208" s="20" t="s">
        <x:v>764</x:v>
      </x:c>
      <x:c r="F208" s="20" t="s">
        <x:v>765</x:v>
      </x:c>
      <x:c r="G208" s="20" t="s">
        <x:v>768</x:v>
      </x:c>
      <x:c r="H208" s="20" t="s">
        <x:v>769</x:v>
      </x:c>
      <x:c r="I208" s="20" t="s">
        <x:v>113</x:v>
      </x:c>
      <x:c r="J208" s="20" t="s">
        <x:v>77</x:v>
      </x:c>
      <x:c r="K208" s="20" t="s">
        <x:v>770</x:v>
      </x:c>
    </x:row>
    <x:row r="209" ht="35.04999923706055" hidden="0">
      <x:c r="A209" s="20" t="s">
        <x:v>771</x:v>
      </x:c>
      <x:c r="B209" s="20" t="n">
        <x:v>3</x:v>
      </x:c>
      <x:c r="C209" s="20" t="s">
        <x:v>74</x:v>
      </x:c>
      <x:c r="D209" s="20" t="s">
        <x:v>75</x:v>
      </x:c>
      <x:c r="E209" s="20" t="s">
        <x:v>772</x:v>
      </x:c>
      <x:c r="F209" s="20" t="s">
        <x:v>126</x:v>
      </x:c>
      <x:c r="G209" s="20"/>
      <x:c r="H209" s="20"/>
      <x:c r="I209" s="20" t="s">
        <x:v>126</x:v>
      </x:c>
      <x:c r="J209" s="20" t="s">
        <x:v>127</x:v>
      </x:c>
      <x:c r="K209" s="20" t="s">
        <x:v>773</x:v>
      </x:c>
    </x:row>
    <x:row r="210" ht="35.04999923706055" hidden="0">
      <x:c r="A210" s="20" t="s">
        <x:v>774</x:v>
      </x:c>
      <x:c r="B210" s="20" t="n">
        <x:v>4</x:v>
      </x:c>
      <x:c r="C210" s="20" t="s">
        <x:v>74</x:v>
      </x:c>
      <x:c r="D210" s="20" t="s">
        <x:v>75</x:v>
      </x:c>
      <x:c r="E210" s="20" t="s">
        <x:v>772</x:v>
      </x:c>
      <x:c r="F210" s="20" t="s">
        <x:v>126</x:v>
      </x:c>
      <x:c r="G210" s="20" t="s">
        <x:v>775</x:v>
      </x:c>
      <x:c r="H210" s="20" t="s">
        <x:v>776</x:v>
      </x:c>
      <x:c r="I210" s="20" t="s">
        <x:v>126</x:v>
      </x:c>
      <x:c r="J210" s="20" t="s">
        <x:v>127</x:v>
      </x:c>
      <x:c r="K210" s="20" t="s">
        <x:v>777</x:v>
      </x:c>
    </x:row>
    <x:row r="211" ht="35.04999923706055" hidden="0">
      <x:c r="A211" s="20" t="s">
        <x:v>778</x:v>
      </x:c>
      <x:c r="B211" s="20" t="n">
        <x:v>3</x:v>
      </x:c>
      <x:c r="C211" s="20" t="s">
        <x:v>74</x:v>
      </x:c>
      <x:c r="D211" s="20" t="s">
        <x:v>75</x:v>
      </x:c>
      <x:c r="E211" s="20" t="s">
        <x:v>779</x:v>
      </x:c>
      <x:c r="F211" s="20" t="s">
        <x:v>780</x:v>
      </x:c>
      <x:c r="G211" s="20"/>
      <x:c r="H211" s="20"/>
      <x:c r="I211" s="20" t="s">
        <x:v>139</x:v>
      </x:c>
      <x:c r="J211" s="20" t="s">
        <x:v>781</x:v>
      </x:c>
      <x:c r="K211" s="20" t="s">
        <x:v>782</x:v>
      </x:c>
    </x:row>
    <x:row r="212" ht="35.04999923706055" hidden="0">
      <x:c r="A212" s="20" t="s">
        <x:v>783</x:v>
      </x:c>
      <x:c r="B212" s="20" t="n">
        <x:v>4</x:v>
      </x:c>
      <x:c r="C212" s="20" t="s">
        <x:v>74</x:v>
      </x:c>
      <x:c r="D212" s="20" t="s">
        <x:v>75</x:v>
      </x:c>
      <x:c r="E212" s="20" t="s">
        <x:v>779</x:v>
      </x:c>
      <x:c r="F212" s="20" t="s">
        <x:v>780</x:v>
      </x:c>
      <x:c r="G212" s="20" t="s">
        <x:v>784</x:v>
      </x:c>
      <x:c r="H212" s="20" t="s">
        <x:v>785</x:v>
      </x:c>
      <x:c r="I212" s="20" t="s">
        <x:v>139</x:v>
      </x:c>
      <x:c r="J212" s="20" t="s">
        <x:v>781</x:v>
      </x:c>
      <x:c r="K212" s="20" t="s">
        <x:v>786</x:v>
      </x:c>
    </x:row>
    <x:row r="213" ht="35.04999923706055" hidden="0">
      <x:c r="A213" s="20" t="s">
        <x:v>787</x:v>
      </x:c>
      <x:c r="B213" s="20" t="n">
        <x:v>4</x:v>
      </x:c>
      <x:c r="C213" s="20" t="s">
        <x:v>74</x:v>
      </x:c>
      <x:c r="D213" s="20" t="s">
        <x:v>75</x:v>
      </x:c>
      <x:c r="E213" s="20" t="s">
        <x:v>779</x:v>
      </x:c>
      <x:c r="F213" s="20" t="s">
        <x:v>780</x:v>
      </x:c>
      <x:c r="G213" s="20" t="s">
        <x:v>788</x:v>
      </x:c>
      <x:c r="H213" s="20" t="s">
        <x:v>789</x:v>
      </x:c>
      <x:c r="I213" s="20" t="s">
        <x:v>139</x:v>
      </x:c>
      <x:c r="J213" s="20" t="s">
        <x:v>781</x:v>
      </x:c>
      <x:c r="K213" s="20" t="s">
        <x:v>790</x:v>
      </x:c>
    </x:row>
    <x:row r="214" ht="35.04999923706055" hidden="0">
      <x:c r="A214" s="20" t="s">
        <x:v>791</x:v>
      </x:c>
      <x:c r="B214" s="20" t="n">
        <x:v>3</x:v>
      </x:c>
      <x:c r="C214" s="20" t="s">
        <x:v>74</x:v>
      </x:c>
      <x:c r="D214" s="20" t="s">
        <x:v>75</x:v>
      </x:c>
      <x:c r="E214" s="20" t="s">
        <x:v>792</x:v>
      </x:c>
      <x:c r="F214" s="20" t="s">
        <x:v>793</x:v>
      </x:c>
      <x:c r="G214" s="20"/>
      <x:c r="H214" s="20"/>
      <x:c r="I214" s="20" t="s">
        <x:v>156</x:v>
      </x:c>
      <x:c r="J214" s="20" t="s">
        <x:v>77</x:v>
      </x:c>
      <x:c r="K214" s="20" t="s">
        <x:v>794</x:v>
      </x:c>
    </x:row>
    <x:row r="215" ht="35.04999923706055" hidden="0">
      <x:c r="A215" s="20" t="s">
        <x:v>795</x:v>
      </x:c>
      <x:c r="B215" s="20" t="n">
        <x:v>4</x:v>
      </x:c>
      <x:c r="C215" s="20" t="s">
        <x:v>74</x:v>
      </x:c>
      <x:c r="D215" s="20" t="s">
        <x:v>75</x:v>
      </x:c>
      <x:c r="E215" s="20" t="s">
        <x:v>792</x:v>
      </x:c>
      <x:c r="F215" s="20" t="s">
        <x:v>793</x:v>
      </x:c>
      <x:c r="G215" s="20" t="s">
        <x:v>796</x:v>
      </x:c>
      <x:c r="H215" s="20" t="s">
        <x:v>797</x:v>
      </x:c>
      <x:c r="I215" s="20" t="s">
        <x:v>156</x:v>
      </x:c>
      <x:c r="J215" s="20" t="s">
        <x:v>77</x:v>
      </x:c>
      <x:c r="K215" s="20" t="s">
        <x:v>798</x:v>
      </x:c>
    </x:row>
    <x:row r="216" ht="35.04999923706055" hidden="0">
      <x:c r="A216" s="20" t="s">
        <x:v>799</x:v>
      </x:c>
      <x:c r="B216" s="20" t="n">
        <x:v>3</x:v>
      </x:c>
      <x:c r="C216" s="20" t="s">
        <x:v>74</x:v>
      </x:c>
      <x:c r="D216" s="20" t="s">
        <x:v>75</x:v>
      </x:c>
      <x:c r="E216" s="20" t="s">
        <x:v>800</x:v>
      </x:c>
      <x:c r="F216" s="20" t="s">
        <x:v>165</x:v>
      </x:c>
      <x:c r="G216" s="20"/>
      <x:c r="H216" s="20"/>
      <x:c r="I216" s="20" t="s">
        <x:v>165</x:v>
      </x:c>
      <x:c r="J216" s="20" t="s">
        <x:v>77</x:v>
      </x:c>
      <x:c r="K216" s="20" t="s">
        <x:v>801</x:v>
      </x:c>
    </x:row>
    <x:row r="217" ht="35.04999923706055" hidden="0">
      <x:c r="A217" s="20" t="s">
        <x:v>802</x:v>
      </x:c>
      <x:c r="B217" s="20" t="n">
        <x:v>4</x:v>
      </x:c>
      <x:c r="C217" s="20" t="s">
        <x:v>74</x:v>
      </x:c>
      <x:c r="D217" s="20" t="s">
        <x:v>75</x:v>
      </x:c>
      <x:c r="E217" s="20" t="s">
        <x:v>800</x:v>
      </x:c>
      <x:c r="F217" s="20" t="s">
        <x:v>165</x:v>
      </x:c>
      <x:c r="G217" s="20" t="s">
        <x:v>803</x:v>
      </x:c>
      <x:c r="H217" s="20" t="s">
        <x:v>804</x:v>
      </x:c>
      <x:c r="I217" s="20" t="s">
        <x:v>165</x:v>
      </x:c>
      <x:c r="J217" s="20" t="s">
        <x:v>77</x:v>
      </x:c>
      <x:c r="K217" s="20" t="s">
        <x:v>805</x:v>
      </x:c>
    </x:row>
  </x:sheetData>
  <x:mergeCells>
    <x:mergeCell ref="A1:K1"/>
    <x:mergeCell ref="A2:K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5"/>
  <x:cols>
    <x:col min="1" max="15" width="20" hidden="0" customWidth="1"/>
    <x:col min="1" max="1" width="18" hidden="0" customWidth="1"/>
    <x:col min="2" max="2" width="15" hidden="0" customWidth="1"/>
    <x:col min="3" max="3" width="39" hidden="0" customWidth="1"/>
    <x:col min="4" max="4" width="16" hidden="0" customWidth="1"/>
    <x:col min="5" max="5" width="15" hidden="0" customWidth="1"/>
    <x:col min="6" max="6" width="15" hidden="0" customWidth="1"/>
    <x:col min="12" max="12" width="36" hidden="0" customWidth="1"/>
    <x:col min="16" max="16" width="20" hidden="0" customWidth="1"/>
    <x:col min="17" max="17" width="20" hidden="0" customWidth="1"/>
    <x:col min="19" max="19" width="34" hidden="0" customWidth="1"/>
    <x:col min="20" max="20" width="53" hidden="0" customWidth="1"/>
  </x:cols>
  <x:sheetData>
    <x:row r="1" ht="17.350000381469727" hidden="0">
      <x:c r="A1" s="4" t="s">
        <x:v>806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</x:row>
    <x:row r="2" ht="15" hidden="0">
      <x:c r="A2" s="5" t="str">
        <x:v>Approved HWSD synthetic recovery baseline — CPM calculated with per-project finish anchors, cross-project interfaces, 5 approved release holds and a source-explicit fixed-date P08 outage milestone.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</x:row>
    <x:row r="4" ht="35" hidden="0" customHeight="1">
      <x:c r="A4" s="44" t="str">
        <x:v>activity_id</x:v>
      </x:c>
      <x:c r="B4" s="44" t="str">
        <x:v>project_id</x:v>
      </x:c>
      <x:c r="C4" s="44" t="str">
        <x:v>activity_name</x:v>
      </x:c>
      <x:c r="D4" s="44" t="str">
        <x:v>wbs_code</x:v>
      </x:c>
      <x:c r="E4" s="44" t="str">
        <x:v>baseline_start</x:v>
      </x:c>
      <x:c r="F4" s="44" t="str">
        <x:v>baseline_finish</x:v>
      </x:c>
      <x:c r="G4" s="44" t="str">
        <x:v>forecast_start</x:v>
      </x:c>
      <x:c r="H4" s="44" t="str">
        <x:v>forecast_finish</x:v>
      </x:c>
      <x:c r="I4" s="44" t="str">
        <x:v>actual_start</x:v>
      </x:c>
      <x:c r="J4" s="44" t="str">
        <x:v>actual_finish</x:v>
      </x:c>
      <x:c r="K4" s="44" t="str">
        <x:v>duration_days</x:v>
      </x:c>
      <x:c r="L4" s="44" t="str">
        <x:v>predecessor</x:v>
      </x:c>
      <x:c r="M4" s="44" t="str">
        <x:v>percent_complete</x:v>
      </x:c>
      <x:c r="N4" s="44" t="str">
        <x:v>is_milestone</x:v>
      </x:c>
      <x:c r="O4" s="44" t="str">
        <x:v>critical_flag</x:v>
      </x:c>
      <x:c r="P4" s="48" t="str">
        <x:v>control_account_id</x:v>
      </x:c>
      <x:c r="Q4" s="48" t="str">
        <x:v>work_package_id</x:v>
      </x:c>
      <x:c r="R4" s="48" t="str">
        <x:v>activity_type</x:v>
      </x:c>
      <x:c r="S4" s="48" t="str">
        <x:v>assumption_basis</x:v>
      </x:c>
      <x:c r="T4" s="48" t="str">
        <x:v>recovery_status</x:v>
      </x:c>
      <x:c r="U4" s="48" t="str">
        <x:v>early_start</x:v>
      </x:c>
      <x:c r="V4" s="48" t="str">
        <x:v>early_finish</x:v>
      </x:c>
      <x:c r="W4" s="48" t="str">
        <x:v>late_start</x:v>
      </x:c>
      <x:c r="X4" s="48" t="str">
        <x:v>late_finish</x:v>
      </x:c>
      <x:c r="Y4" s="48" t="str">
        <x:v>total_float_days</x:v>
      </x:c>
    </x:row>
    <x:row r="5" ht="21" customHeight="1">
      <x:c r="A5" t="str">
        <x:v>P01-A1</x:v>
      </x:c>
      <x:c r="B5" t="str">
        <x:v>P01</x:v>
      </x:c>
      <x:c r="C5" t="str">
        <x:v>Conduct Needs Assessment</x:v>
      </x:c>
      <x:c r="D5" t="str">
        <x:v>1.01.1.1</x:v>
      </x:c>
      <x:c r="E5" s="54" t="n">
        <x:v>45659</x:v>
      </x:c>
      <x:c r="F5" s="54" t="n">
        <x:v>45672</x:v>
      </x:c>
      <x:c r="G5" s="54"/>
      <x:c r="H5" s="54"/>
      <x:c r="I5" s="54"/>
      <x:c r="J5" s="54"/>
      <x:c r="K5" t="n">
        <x:v>10</x:v>
      </x:c>
      <x:c r="L5" t="str"/>
      <x:c r="M5"/>
      <x:c r="N5" s="21" t="b">
        <x:v>0</x:v>
      </x:c>
      <x:c r="O5" s="21" t="b">
        <x:v>1</x:v>
      </x:c>
      <x:c r="P5" t="str">
        <x:v>P01-CA01</x:v>
      </x:c>
      <x:c r="Q5" t="str">
        <x:v>P01-WP011</x:v>
      </x:c>
      <x:c r="R5" t="str">
        <x:v>Task</x:v>
      </x:c>
      <x:c r="S5" t="str">
        <x:v>Project-type realism</x:v>
      </x:c>
      <x:c r="T5" t="str">
        <x:v>Source-derived / reconstructed network | Scenario dates calculated from reconstructed logic, not source recovered</x:v>
      </x:c>
      <x:c r="U5" s="54" t="n">
        <x:v>45659</x:v>
      </x:c>
      <x:c r="V5" s="54" t="n">
        <x:v>45672</x:v>
      </x:c>
      <x:c r="W5" s="54" t="n">
        <x:v>45659</x:v>
      </x:c>
      <x:c r="X5" s="54" t="n">
        <x:v>45672</x:v>
      </x:c>
      <x:c r="Y5" s="78" t="n">
        <x:v>0</x:v>
      </x:c>
    </x:row>
    <x:row r="6" ht="21" customHeight="1">
      <x:c r="A6" t="str">
        <x:v>P01-A6</x:v>
      </x:c>
      <x:c r="B6" t="str">
        <x:v>P01</x:v>
      </x:c>
      <x:c r="C6" t="str">
        <x:v>Contractor Mobilization</x:v>
      </x:c>
      <x:c r="D6" t="str">
        <x:v>1.01.3.2</x:v>
      </x:c>
      <x:c r="E6" s="54" t="n">
        <x:v>45792</x:v>
      </x:c>
      <x:c r="F6" s="54" t="n">
        <x:v>45812</x:v>
      </x:c>
      <x:c r="G6" s="54"/>
      <x:c r="H6" s="54"/>
      <x:c r="I6" s="54"/>
      <x:c r="J6" s="54"/>
      <x:c r="K6" t="n">
        <x:v>15</x:v>
      </x:c>
      <x:c r="L6" t="str">
        <x:v>P01-M2</x:v>
      </x:c>
      <x:c r="M6"/>
      <x:c r="N6" s="21" t="b">
        <x:v>0</x:v>
      </x:c>
      <x:c r="O6" s="21" t="b">
        <x:v>0</x:v>
      </x:c>
      <x:c r="P6" t="str">
        <x:v>P01-CA03</x:v>
      </x:c>
      <x:c r="Q6" t="str">
        <x:v>P01-WP032</x:v>
      </x:c>
      <x:c r="R6" t="str">
        <x:v>Task</x:v>
      </x:c>
      <x:c r="S6" t="str">
        <x:v>Approved P01 schedule</x:v>
      </x:c>
      <x:c r="T6" t="str">
        <x:v>Source-derived / reconstructed network | Scenario dates calculated from reconstructed logic, not source recovered</x:v>
      </x:c>
      <x:c r="U6" s="54" t="n">
        <x:v>45792</x:v>
      </x:c>
      <x:c r="V6" s="54" t="n">
        <x:v>45812</x:v>
      </x:c>
      <x:c r="W6" s="54" t="n">
        <x:v>45846</x:v>
      </x:c>
      <x:c r="X6" s="54" t="n">
        <x:v>45866</x:v>
      </x:c>
      <x:c r="Y6" s="78" t="n">
        <x:v>38</x:v>
      </x:c>
    </x:row>
    <x:row r="7" ht="21" customHeight="1">
      <x:c r="A7" t="str">
        <x:v>P01-A7a</x:v>
      </x:c>
      <x:c r="B7" t="str">
        <x:v>P01</x:v>
      </x:c>
      <x:c r="C7" t="str">
        <x:v>Pipe / Valve / Hydrant Submittal Review</x:v>
      </x:c>
      <x:c r="D7" t="str">
        <x:v>1.01.3.1</x:v>
      </x:c>
      <x:c r="E7" s="54" t="n">
        <x:v>45792</x:v>
      </x:c>
      <x:c r="F7" s="54" t="n">
        <x:v>45812</x:v>
      </x:c>
      <x:c r="G7" s="54"/>
      <x:c r="H7" s="54"/>
      <x:c r="I7" s="54"/>
      <x:c r="J7" s="54"/>
      <x:c r="K7" t="n">
        <x:v>15</x:v>
      </x:c>
      <x:c r="L7" t="str">
        <x:v>P01-M2</x:v>
      </x:c>
      <x:c r="M7"/>
      <x:c r="N7" s="21" t="b">
        <x:v>0</x:v>
      </x:c>
      <x:c r="O7" s="21" t="b">
        <x:v>1</x:v>
      </x:c>
      <x:c r="P7" t="str">
        <x:v>P01-CA03</x:v>
      </x:c>
      <x:c r="Q7" t="str">
        <x:v>P01-WP031</x:v>
      </x:c>
      <x:c r="R7" t="str">
        <x:v>Task</x:v>
      </x:c>
      <x:c r="S7" t="str">
        <x:v>Approved realism audit</x:v>
      </x:c>
      <x:c r="T7" t="str">
        <x:v>Source-derived / reconstructed network | Scenario dates calculated from reconstructed logic, not source recovered</x:v>
      </x:c>
      <x:c r="U7" s="54" t="n">
        <x:v>45792</x:v>
      </x:c>
      <x:c r="V7" s="54" t="n">
        <x:v>45812</x:v>
      </x:c>
      <x:c r="W7" s="54" t="n">
        <x:v>45792</x:v>
      </x:c>
      <x:c r="X7" s="54" t="n">
        <x:v>45812</x:v>
      </x:c>
      <x:c r="Y7" s="78" t="n">
        <x:v>0</x:v>
      </x:c>
    </x:row>
    <x:row r="8" ht="21" customHeight="1">
      <x:c r="A8" t="str">
        <x:v>P01-A2</x:v>
      </x:c>
      <x:c r="B8" t="str">
        <x:v>P01</x:v>
      </x:c>
      <x:c r="C8" t="str">
        <x:v>Finalize Project Definition &amp; Scope</x:v>
      </x:c>
      <x:c r="D8" t="str">
        <x:v>1.01.1.2</x:v>
      </x:c>
      <x:c r="E8" s="54" t="n">
        <x:v>45673</x:v>
      </x:c>
      <x:c r="F8" s="54" t="n">
        <x:v>45679</x:v>
      </x:c>
      <x:c r="G8" s="54"/>
      <x:c r="H8" s="54"/>
      <x:c r="I8" s="54"/>
      <x:c r="J8" s="54"/>
      <x:c r="K8" t="n">
        <x:v>5</x:v>
      </x:c>
      <x:c r="L8" t="str">
        <x:v>P01-A1</x:v>
      </x:c>
      <x:c r="M8"/>
      <x:c r="N8" s="21" t="b">
        <x:v>0</x:v>
      </x:c>
      <x:c r="O8" s="21" t="b">
        <x:v>1</x:v>
      </x:c>
      <x:c r="P8" t="str">
        <x:v>P01-CA01</x:v>
      </x:c>
      <x:c r="Q8" t="str">
        <x:v>P01-WP012</x:v>
      </x:c>
      <x:c r="R8" t="str">
        <x:v>Task</x:v>
      </x:c>
      <x:c r="S8" t="str">
        <x:v>Project-type realism</x:v>
      </x:c>
      <x:c r="T8" t="str">
        <x:v>Source-derived / reconstructed network | Scenario dates calculated from reconstructed logic, not source recovered</x:v>
      </x:c>
      <x:c r="U8" s="54" t="n">
        <x:v>45673</x:v>
      </x:c>
      <x:c r="V8" s="54" t="n">
        <x:v>45679</x:v>
      </x:c>
      <x:c r="W8" s="54" t="n">
        <x:v>45673</x:v>
      </x:c>
      <x:c r="X8" s="54" t="n">
        <x:v>45679</x:v>
      </x:c>
      <x:c r="Y8" s="78" t="n">
        <x:v>0</x:v>
      </x:c>
    </x:row>
    <x:row r="9" ht="21" customHeight="1">
      <x:c r="A9" t="str">
        <x:v>P01-A3</x:v>
      </x:c>
      <x:c r="B9" t="str">
        <x:v>P01</x:v>
      </x:c>
      <x:c r="C9" t="str">
        <x:v>Develop Preliminary Design</x:v>
      </x:c>
      <x:c r="D9" t="str">
        <x:v>1.01.2.1</x:v>
      </x:c>
      <x:c r="E9" s="54" t="n">
        <x:v>45680</x:v>
      </x:c>
      <x:c r="F9" s="54" t="n">
        <x:v>45707</x:v>
      </x:c>
      <x:c r="G9" s="54"/>
      <x:c r="H9" s="54"/>
      <x:c r="I9" s="54"/>
      <x:c r="J9" s="54"/>
      <x:c r="K9" t="n">
        <x:v>20</x:v>
      </x:c>
      <x:c r="L9" t="str">
        <x:v>P01-A2</x:v>
      </x:c>
      <x:c r="M9"/>
      <x:c r="N9" s="21" t="b">
        <x:v>0</x:v>
      </x:c>
      <x:c r="O9" s="21" t="b">
        <x:v>1</x:v>
      </x:c>
      <x:c r="P9" t="str">
        <x:v>P01-CA02</x:v>
      </x:c>
      <x:c r="Q9" t="str">
        <x:v>P01-WP021</x:v>
      </x:c>
      <x:c r="R9" t="str">
        <x:v>Task</x:v>
      </x:c>
      <x:c r="S9" t="str">
        <x:v>Project-type realism</x:v>
      </x:c>
      <x:c r="T9" t="str">
        <x:v>Source-derived / reconstructed network | Scenario dates calculated from reconstructed logic, not source recovered</x:v>
      </x:c>
      <x:c r="U9" s="54" t="n">
        <x:v>45680</x:v>
      </x:c>
      <x:c r="V9" s="54" t="n">
        <x:v>45707</x:v>
      </x:c>
      <x:c r="W9" s="54" t="n">
        <x:v>45680</x:v>
      </x:c>
      <x:c r="X9" s="54" t="n">
        <x:v>45707</x:v>
      </x:c>
      <x:c r="Y9" s="78" t="n">
        <x:v>0</x:v>
      </x:c>
    </x:row>
    <x:row r="10" ht="21" customHeight="1">
      <x:c r="A10" t="str">
        <x:v>P01-A7b</x:v>
      </x:c>
      <x:c r="B10" t="str">
        <x:v>P01</x:v>
      </x:c>
      <x:c r="C10" t="str">
        <x:v>Pipe Fabrication</x:v>
      </x:c>
      <x:c r="D10" t="str">
        <x:v>1.01.4.1</x:v>
      </x:c>
      <x:c r="E10" s="54" t="n">
        <x:v>45813</x:v>
      </x:c>
      <x:c r="F10" s="54" t="n">
        <x:v>45854</x:v>
      </x:c>
      <x:c r="G10" s="54"/>
      <x:c r="H10" s="54"/>
      <x:c r="I10" s="54"/>
      <x:c r="J10" s="54"/>
      <x:c r="K10" t="n">
        <x:v>30</x:v>
      </x:c>
      <x:c r="L10" t="str">
        <x:v>P01-A7a</x:v>
      </x:c>
      <x:c r="M10"/>
      <x:c r="N10" s="21" t="b">
        <x:v>0</x:v>
      </x:c>
      <x:c r="O10" s="21" t="b">
        <x:v>1</x:v>
      </x:c>
      <x:c r="P10" t="str">
        <x:v>P01-CA04</x:v>
      </x:c>
      <x:c r="Q10" t="str">
        <x:v>P01-WP041</x:v>
      </x:c>
      <x:c r="R10" t="str">
        <x:v>Task</x:v>
      </x:c>
      <x:c r="S10" t="str">
        <x:v>Approved realism audit</x:v>
      </x:c>
      <x:c r="T10" t="str">
        <x:v>Source-derived / reconstructed network | Scenario dates calculated from reconstructed logic, not source recovered</x:v>
      </x:c>
      <x:c r="U10" s="54" t="n">
        <x:v>45813</x:v>
      </x:c>
      <x:c r="V10" s="54" t="n">
        <x:v>45854</x:v>
      </x:c>
      <x:c r="W10" s="54" t="n">
        <x:v>45813</x:v>
      </x:c>
      <x:c r="X10" s="54" t="n">
        <x:v>45854</x:v>
      </x:c>
      <x:c r="Y10" s="78" t="n">
        <x:v>0</x:v>
      </x:c>
    </x:row>
    <x:row r="11" ht="21" customHeight="1">
      <x:c r="A11" t="str">
        <x:v>P01-A4u</x:v>
      </x:c>
      <x:c r="B11" t="str">
        <x:v>P01</x:v>
      </x:c>
      <x:c r="C11" t="str">
        <x:v>Utility Coordination &amp; Locate Requests</x:v>
      </x:c>
      <x:c r="D11" t="str">
        <x:v>1.01.4.1</x:v>
      </x:c>
      <x:c r="E11" s="54" t="n">
        <x:v>45708</x:v>
      </x:c>
      <x:c r="F11" s="54" t="n">
        <x:v>45721</x:v>
      </x:c>
      <x:c r="G11" s="54"/>
      <x:c r="H11" s="54"/>
      <x:c r="I11" s="54"/>
      <x:c r="J11" s="54"/>
      <x:c r="K11" t="n">
        <x:v>10</x:v>
      </x:c>
      <x:c r="L11" t="str">
        <x:v>P01-A3</x:v>
      </x:c>
      <x:c r="M11"/>
      <x:c r="N11" s="21" t="b">
        <x:v>0</x:v>
      </x:c>
      <x:c r="O11" s="21" t="b">
        <x:v>0</x:v>
      </x:c>
      <x:c r="P11" t="str">
        <x:v>P01-CA04</x:v>
      </x:c>
      <x:c r="Q11" t="str">
        <x:v>P01-WP041</x:v>
      </x:c>
      <x:c r="R11" t="str">
        <x:v>Task</x:v>
      </x:c>
      <x:c r="S11" t="str">
        <x:v>PROVISIONAL SYNTHETIC (user approved for planning only); exact original audit duration unavailable; retained 10 business days</x:v>
      </x:c>
      <x:c r="T11" t="str">
        <x:v>USER-APPROVED PROVISIONAL SYNTHETIC DURATION; NOT SOURCE RECOVERED | APPROVED PROVISIONAL SYNTHETIC DURATION; NOT SOURCE-RECOVERED; DATE/NETWORK NOT BASELINE-APPROVED | Scenario dates calculated from reconstructed logic, not source recovered</x:v>
      </x:c>
      <x:c r="U11" s="54" t="n">
        <x:v>45708</x:v>
      </x:c>
      <x:c r="V11" s="54" t="n">
        <x:v>45721</x:v>
      </x:c>
      <x:c r="W11" s="54" t="n">
        <x:v>45853</x:v>
      </x:c>
      <x:c r="X11" s="54" t="n">
        <x:v>45866</x:v>
      </x:c>
      <x:c r="Y11" s="78" t="n">
        <x:v>103</x:v>
      </x:c>
    </x:row>
    <x:row r="12" ht="21" customHeight="1">
      <x:c r="A12" t="str">
        <x:v>P01-A4</x:v>
      </x:c>
      <x:c r="B12" t="str">
        <x:v>P01</x:v>
      </x:c>
      <x:c r="C12" t="str">
        <x:v>Complete Final Design</x:v>
      </x:c>
      <x:c r="D12" t="str">
        <x:v>1.01.2.2</x:v>
      </x:c>
      <x:c r="E12" s="54" t="n">
        <x:v>45722</x:v>
      </x:c>
      <x:c r="F12" s="54" t="n">
        <x:v>45756</x:v>
      </x:c>
      <x:c r="G12" s="54"/>
      <x:c r="H12" s="54"/>
      <x:c r="I12" s="54"/>
      <x:c r="J12" s="54"/>
      <x:c r="K12" t="n">
        <x:v>25</x:v>
      </x:c>
      <x:c r="L12" t="str">
        <x:v>P01-A3</x:v>
      </x:c>
      <x:c r="M12"/>
      <x:c r="N12" s="21" t="b">
        <x:v>0</x:v>
      </x:c>
      <x:c r="O12" s="21" t="b">
        <x:v>1</x:v>
      </x:c>
      <x:c r="P12" t="str">
        <x:v>P01-CA02</x:v>
      </x:c>
      <x:c r="Q12" t="str">
        <x:v>P01-WP022</x:v>
      </x:c>
      <x:c r="R12" t="str">
        <x:v>Task</x:v>
      </x:c>
      <x:c r="S12" t="str">
        <x:v>Project-type realism</x:v>
      </x:c>
      <x:c r="T12" t="str">
        <x:v>Source-derived / reconstructed network | Scenario dates calculated from reconstructed logic, not source recovered</x:v>
      </x:c>
      <x:c r="U12" s="54" t="n">
        <x:v>45722</x:v>
      </x:c>
      <x:c r="V12" s="54" t="n">
        <x:v>45756</x:v>
      </x:c>
      <x:c r="W12" s="54" t="n">
        <x:v>45722</x:v>
      </x:c>
      <x:c r="X12" s="54" t="n">
        <x:v>45756</x:v>
      </x:c>
      <x:c r="Y12" s="78" t="n">
        <x:v>0</x:v>
      </x:c>
    </x:row>
    <x:row r="13" ht="21" customHeight="1">
      <x:c r="A13" t="str">
        <x:v>P01-A7c</x:v>
      </x:c>
      <x:c r="B13" t="str">
        <x:v>P01</x:v>
      </x:c>
      <x:c r="C13" t="str">
        <x:v>Delivery &amp; Receiving Inspection</x:v>
      </x:c>
      <x:c r="D13" t="str">
        <x:v>1.01.4.1</x:v>
      </x:c>
      <x:c r="E13" s="54" t="n">
        <x:v>45855</x:v>
      </x:c>
      <x:c r="F13" s="54" t="n">
        <x:v>45866</x:v>
      </x:c>
      <x:c r="G13" s="54"/>
      <x:c r="H13" s="54"/>
      <x:c r="I13" s="54"/>
      <x:c r="J13" s="54"/>
      <x:c r="K13" t="n">
        <x:v>8</x:v>
      </x:c>
      <x:c r="L13" t="str">
        <x:v>P01-A7b</x:v>
      </x:c>
      <x:c r="M13"/>
      <x:c r="N13" s="21" t="b">
        <x:v>0</x:v>
      </x:c>
      <x:c r="O13" s="21" t="b">
        <x:v>1</x:v>
      </x:c>
      <x:c r="P13" t="str">
        <x:v>P01-CA04</x:v>
      </x:c>
      <x:c r="Q13" t="str">
        <x:v>P01-WP041</x:v>
      </x:c>
      <x:c r="R13" t="str">
        <x:v>Task</x:v>
      </x:c>
      <x:c r="S13" t="str">
        <x:v>Approved realism audit</x:v>
      </x:c>
      <x:c r="T13" t="str">
        <x:v>Source-derived / reconstructed network | Scenario dates calculated from reconstructed logic, not source recovered</x:v>
      </x:c>
      <x:c r="U13" s="54" t="n">
        <x:v>45855</x:v>
      </x:c>
      <x:c r="V13" s="54" t="n">
        <x:v>45866</x:v>
      </x:c>
      <x:c r="W13" s="54" t="n">
        <x:v>45855</x:v>
      </x:c>
      <x:c r="X13" s="54" t="n">
        <x:v>45866</x:v>
      </x:c>
      <x:c r="Y13" s="78" t="n">
        <x:v>0</x:v>
      </x:c>
    </x:row>
    <x:row r="14" ht="21" customHeight="1">
      <x:c r="A14" t="str">
        <x:v>P01-A8</x:v>
      </x:c>
      <x:c r="B14" t="str">
        <x:v>P01</x:v>
      </x:c>
      <x:c r="C14" t="str">
        <x:v>Install &amp; Joint Water Main Pipe</x:v>
      </x:c>
      <x:c r="D14" t="str">
        <x:v>1.01.4.1</x:v>
      </x:c>
      <x:c r="E14" s="54" t="n">
        <x:v>45867</x:v>
      </x:c>
      <x:c r="F14" s="54" t="n">
        <x:v>45929</x:v>
      </x:c>
      <x:c r="G14" s="54"/>
      <x:c r="H14" s="54"/>
      <x:c r="I14" s="54"/>
      <x:c r="J14" s="54"/>
      <x:c r="K14" t="n">
        <x:v>45</x:v>
      </x:c>
      <x:c r="L14" t="str">
        <x:v>P01-A6, P01-A7c, P01-A4u</x:v>
      </x:c>
      <x:c r="M14"/>
      <x:c r="N14" s="21" t="b">
        <x:v>0</x:v>
      </x:c>
      <x:c r="O14" s="21" t="b">
        <x:v>1</x:v>
      </x:c>
      <x:c r="P14" t="str">
        <x:v>P01-CA04</x:v>
      </x:c>
      <x:c r="Q14" t="str">
        <x:v>P01-WP041</x:v>
      </x:c>
      <x:c r="R14" t="str">
        <x:v>Task</x:v>
      </x:c>
      <x:c r="S14" t="str">
        <x:v>Approved P01 schedule</x:v>
      </x:c>
      <x:c r="T14" t="str">
        <x:v>Source-derived / reconstructed network | Scenario dates calculated from reconstructed logic, not source recovered</x:v>
      </x:c>
      <x:c r="U14" s="54" t="n">
        <x:v>45867</x:v>
      </x:c>
      <x:c r="V14" s="54" t="n">
        <x:v>45929</x:v>
      </x:c>
      <x:c r="W14" s="54" t="n">
        <x:v>45867</x:v>
      </x:c>
      <x:c r="X14" s="54" t="n">
        <x:v>45929</x:v>
      </x:c>
      <x:c r="Y14" s="78" t="n">
        <x:v>0</x:v>
      </x:c>
    </x:row>
    <x:row r="15" ht="21" customHeight="1">
      <x:c r="A15" t="str">
        <x:v>P01-A5</x:v>
      </x:c>
      <x:c r="B15" t="str">
        <x:v>P01</x:v>
      </x:c>
      <x:c r="C15" t="str">
        <x:v>Prepare &amp; Advertise Bid Package</x:v>
      </x:c>
      <x:c r="D15" t="str">
        <x:v>1.01.3.1</x:v>
      </x:c>
      <x:c r="E15" s="54" t="n">
        <x:v>45743</x:v>
      </x:c>
      <x:c r="F15" s="54" t="n">
        <x:v>45763</x:v>
      </x:c>
      <x:c r="G15" s="54"/>
      <x:c r="H15" s="54"/>
      <x:c r="I15" s="54"/>
      <x:c r="J15" s="54"/>
      <x:c r="K15" t="n">
        <x:v>15</x:v>
      </x:c>
      <x:c r="L15" t="str">
        <x:v>P01-A4</x:v>
      </x:c>
      <x:c r="M15"/>
      <x:c r="N15" s="21" t="b">
        <x:v>0</x:v>
      </x:c>
      <x:c r="O15" s="21" t="b">
        <x:v>1</x:v>
      </x:c>
      <x:c r="P15" t="str">
        <x:v>P01-CA03</x:v>
      </x:c>
      <x:c r="Q15" t="str">
        <x:v>P01-WP031</x:v>
      </x:c>
      <x:c r="R15" t="str">
        <x:v>Task</x:v>
      </x:c>
      <x:c r="S15" t="str">
        <x:v>Approved realism audit</x:v>
      </x:c>
      <x:c r="T15" t="str">
        <x:v>Source-derived / reconstructed network | Scenario dates calculated from reconstructed logic, not source recovered</x:v>
      </x:c>
      <x:c r="U15" s="54" t="n">
        <x:v>45743</x:v>
      </x:c>
      <x:c r="V15" s="54" t="n">
        <x:v>45763</x:v>
      </x:c>
      <x:c r="W15" s="54" t="n">
        <x:v>45743</x:v>
      </x:c>
      <x:c r="X15" s="54" t="n">
        <x:v>45763</x:v>
      </x:c>
      <x:c r="Y15" s="78" t="n">
        <x:v>0</x:v>
      </x:c>
    </x:row>
    <x:row r="16" ht="21" customHeight="1">
      <x:c r="A16" t="str">
        <x:v>P01-A9</x:v>
      </x:c>
      <x:c r="B16" t="str">
        <x:v>P01</x:v>
      </x:c>
      <x:c r="C16" t="str">
        <x:v>Install Valves &amp; Hydrant Tie-Ins</x:v>
      </x:c>
      <x:c r="D16" t="str">
        <x:v>1.01.4.2</x:v>
      </x:c>
      <x:c r="E16" s="54" t="n">
        <x:v>45888</x:v>
      </x:c>
      <x:c r="F16" s="54" t="n">
        <x:v>45908</x:v>
      </x:c>
      <x:c r="G16" s="54"/>
      <x:c r="H16" s="54"/>
      <x:c r="I16" s="54"/>
      <x:c r="J16" s="54"/>
      <x:c r="K16" t="n">
        <x:v>15</x:v>
      </x:c>
      <x:c r="L16" t="str">
        <x:v>P01-A8</x:v>
      </x:c>
      <x:c r="M16"/>
      <x:c r="N16" s="21" t="b">
        <x:v>0</x:v>
      </x:c>
      <x:c r="O16" s="21" t="b">
        <x:v>0</x:v>
      </x:c>
      <x:c r="P16" t="str">
        <x:v>P01-CA04</x:v>
      </x:c>
      <x:c r="Q16" t="str">
        <x:v>P01-WP042</x:v>
      </x:c>
      <x:c r="R16" t="str">
        <x:v>Task</x:v>
      </x:c>
      <x:c r="S16" t="str">
        <x:v>Approved P01 schedule</x:v>
      </x:c>
      <x:c r="T16" t="str">
        <x:v>Source-derived / reconstructed network | Scenario dates calculated from reconstructed logic, not source recovered</x:v>
      </x:c>
      <x:c r="U16" s="54" t="n">
        <x:v>45888</x:v>
      </x:c>
      <x:c r="V16" s="54" t="n">
        <x:v>45908</x:v>
      </x:c>
      <x:c r="W16" s="54" t="n">
        <x:v>45916</x:v>
      </x:c>
      <x:c r="X16" s="54" t="n">
        <x:v>45936</x:v>
      </x:c>
      <x:c r="Y16" s="78" t="n">
        <x:v>20</x:v>
      </x:c>
    </x:row>
    <x:row r="17" ht="21" customHeight="1">
      <x:c r="A17" t="str">
        <x:v>P01-A4b</x:v>
      </x:c>
      <x:c r="B17" t="str">
        <x:v>P01</x:v>
      </x:c>
      <x:c r="C17" t="str">
        <x:v>Regulatory Plan Review &amp; Approval</x:v>
      </x:c>
      <x:c r="D17" t="str">
        <x:v>1.01.2.2</x:v>
      </x:c>
      <x:c r="E17" s="54" t="n">
        <x:v>45757</x:v>
      </x:c>
      <x:c r="F17" s="54" t="n">
        <x:v>45777</x:v>
      </x:c>
      <x:c r="G17" s="54"/>
      <x:c r="H17" s="54"/>
      <x:c r="I17" s="54"/>
      <x:c r="J17" s="54"/>
      <x:c r="K17" t="n">
        <x:v>15</x:v>
      </x:c>
      <x:c r="L17" t="str">
        <x:v>P01-A4</x:v>
      </x:c>
      <x:c r="M17"/>
      <x:c r="N17" s="21" t="b">
        <x:v>0</x:v>
      </x:c>
      <x:c r="O17" s="21" t="b">
        <x:v>0</x:v>
      </x:c>
      <x:c r="P17" t="str">
        <x:v>P01-CA02</x:v>
      </x:c>
      <x:c r="Q17" t="str">
        <x:v>P01-WP022</x:v>
      </x:c>
      <x:c r="R17" t="str">
        <x:v>Task</x:v>
      </x:c>
      <x:c r="S17" t="str">
        <x:v>PROVISIONAL SYNTHETIC (user approved for planning only); exact original audit duration unavailable; retained 15 business days</x:v>
      </x:c>
      <x:c r="T17" t="str">
        <x:v>USER-APPROVED PROVISIONAL SYNTHETIC DURATION; NOT SOURCE RECOVERED | APPROVED PROVISIONAL SYNTHETIC DURATION; NOT SOURCE-RECOVERED; DATE/NETWORK NOT BASELINE-APPROVED | Scenario dates calculated from reconstructed logic, not source recovered</x:v>
      </x:c>
      <x:c r="U17" s="54" t="n">
        <x:v>45757</x:v>
      </x:c>
      <x:c r="V17" s="54" t="n">
        <x:v>45777</x:v>
      </x:c>
      <x:c r="W17" s="54" t="n">
        <x:v>45771</x:v>
      </x:c>
      <x:c r="X17" s="54" t="n">
        <x:v>45791</x:v>
      </x:c>
      <x:c r="Y17" s="78" t="n">
        <x:v>10</x:v>
      </x:c>
    </x:row>
    <x:row r="18" ht="21" customHeight="1">
      <x:c r="A18" t="str">
        <x:v>P01-M1</x:v>
      </x:c>
      <x:c r="B18" t="str">
        <x:v>P01</x:v>
      </x:c>
      <x:c r="C18" t="str">
        <x:v>Design Complete</x:v>
      </x:c>
      <x:c r="D18" t="str">
        <x:v>1.01.2.2</x:v>
      </x:c>
      <x:c r="E18" s="54" t="n">
        <x:v>45756</x:v>
      </x:c>
      <x:c r="F18" s="54" t="n">
        <x:v>45756</x:v>
      </x:c>
      <x:c r="G18" s="54"/>
      <x:c r="H18" s="54"/>
      <x:c r="I18" s="54"/>
      <x:c r="J18" s="54"/>
      <x:c r="K18" t="n">
        <x:v>0</x:v>
      </x:c>
      <x:c r="L18" t="str">
        <x:v>P01-A4</x:v>
      </x:c>
      <x:c r="M18"/>
      <x:c r="N18" s="21" t="b">
        <x:v>1</x:v>
      </x:c>
      <x:c r="O18" s="21" t="b">
        <x:v>0</x:v>
      </x:c>
      <x:c r="P18" t="str">
        <x:v>P01-CA02</x:v>
      </x:c>
      <x:c r="Q18" t="str">
        <x:v>P01-WP022</x:v>
      </x:c>
      <x:c r="R18" t="str">
        <x:v>Milestone</x:v>
      </x:c>
      <x:c r="S18" t="str">
        <x:v>Approved standard milestone; exact milestone date reconstructed from final network</x:v>
      </x:c>
      <x:c r="T18" t="str">
        <x:v>UNRESOLVED: milestone depends on reconstructed P01/P02 network; exact approved date not recoverable from available source | Scenario dates calculated from reconstructed logic, not source recovered</x:v>
      </x:c>
      <x:c r="U18" s="54" t="n">
        <x:v>45756</x:v>
      </x:c>
      <x:c r="V18" s="54" t="n">
        <x:v>45756</x:v>
      </x:c>
      <x:c r="W18" s="54" t="n">
        <x:v>46020</x:v>
      </x:c>
      <x:c r="X18" s="54" t="n">
        <x:v>46020</x:v>
      </x:c>
      <x:c r="Y18" s="78" t="n">
        <x:v>188</x:v>
      </x:c>
    </x:row>
    <x:row r="19" ht="21" customHeight="1">
      <x:c r="A19" t="str">
        <x:v>P01-A9b</x:v>
      </x:c>
      <x:c r="B19" t="str">
        <x:v>P01</x:v>
      </x:c>
      <x:c r="C19" t="str">
        <x:v>Shutdown Planning &amp; Operations Coordination</x:v>
      </x:c>
      <x:c r="D19" t="str">
        <x:v>1.01.4.2</x:v>
      </x:c>
      <x:c r="E19" s="54" t="n">
        <x:v>45895</x:v>
      </x:c>
      <x:c r="F19" s="54" t="n">
        <x:v>45908</x:v>
      </x:c>
      <x:c r="G19" s="54"/>
      <x:c r="H19" s="54"/>
      <x:c r="I19" s="54"/>
      <x:c r="J19" s="54"/>
      <x:c r="K19" t="n">
        <x:v>10</x:v>
      </x:c>
      <x:c r="L19" t="str">
        <x:v>P01-A8</x:v>
      </x:c>
      <x:c r="M19"/>
      <x:c r="N19" s="21" t="b">
        <x:v>0</x:v>
      </x:c>
      <x:c r="O19" s="21" t="b">
        <x:v>0</x:v>
      </x:c>
      <x:c r="P19" t="str">
        <x:v>P01-CA04</x:v>
      </x:c>
      <x:c r="Q19" t="str">
        <x:v>P01-WP042</x:v>
      </x:c>
      <x:c r="R19" t="str">
        <x:v>Task</x:v>
      </x:c>
      <x:c r="S19" t="str">
        <x:v>PROVISIONAL SYNTHETIC (user approved for planning only); exact original audit duration unavailable; retained 10 business days</x:v>
      </x:c>
      <x:c r="T19" t="str">
        <x:v>USER-APPROVED PROVISIONAL SYNTHETIC DURATION; NOT SOURCE RECOVERED | APPROVED PROVISIONAL SYNTHETIC DURATION; NOT SOURCE-RECOVERED; DATE/NETWORK NOT BASELINE-APPROVED | Scenario dates calculated from reconstructed logic, not source recovered</x:v>
      </x:c>
      <x:c r="U19" s="54" t="n">
        <x:v>45895</x:v>
      </x:c>
      <x:c r="V19" s="54" t="n">
        <x:v>45908</x:v>
      </x:c>
      <x:c r="W19" s="54" t="n">
        <x:v>45923</x:v>
      </x:c>
      <x:c r="X19" s="54" t="n">
        <x:v>45936</x:v>
      </x:c>
      <x:c r="Y19" s="78" t="n">
        <x:v>20</x:v>
      </x:c>
    </x:row>
    <x:row r="20" ht="21" customHeight="1">
      <x:c r="A20" t="str">
        <x:v>P01-A5b</x:v>
      </x:c>
      <x:c r="B20" t="str">
        <x:v>P01</x:v>
      </x:c>
      <x:c r="C20" t="str">
        <x:v>Bid Evaluation, Selection &amp; Award Recommendation</x:v>
      </x:c>
      <x:c r="D20" t="str">
        <x:v>1.01.3.1</x:v>
      </x:c>
      <x:c r="E20" s="54" t="n">
        <x:v>45764</x:v>
      </x:c>
      <x:c r="F20" s="54" t="n">
        <x:v>45777</x:v>
      </x:c>
      <x:c r="G20" s="54"/>
      <x:c r="H20" s="54"/>
      <x:c r="I20" s="54"/>
      <x:c r="J20" s="54"/>
      <x:c r="K20" t="n">
        <x:v>10</x:v>
      </x:c>
      <x:c r="L20" t="str">
        <x:v>P01-A5</x:v>
      </x:c>
      <x:c r="M20"/>
      <x:c r="N20" s="21" t="b">
        <x:v>0</x:v>
      </x:c>
      <x:c r="O20" s="21" t="b">
        <x:v>1</x:v>
      </x:c>
      <x:c r="P20" t="str">
        <x:v>P01-CA03</x:v>
      </x:c>
      <x:c r="Q20" t="str">
        <x:v>P01-WP031</x:v>
      </x:c>
      <x:c r="R20" t="str">
        <x:v>Task</x:v>
      </x:c>
      <x:c r="S20" t="str">
        <x:v>Approved realism audit</x:v>
      </x:c>
      <x:c r="T20" t="str">
        <x:v>Source-derived / reconstructed network | Scenario dates calculated from reconstructed logic, not source recovered</x:v>
      </x:c>
      <x:c r="U20" s="54" t="n">
        <x:v>45764</x:v>
      </x:c>
      <x:c r="V20" s="54" t="n">
        <x:v>45777</x:v>
      </x:c>
      <x:c r="W20" s="54" t="n">
        <x:v>45764</x:v>
      </x:c>
      <x:c r="X20" s="54" t="n">
        <x:v>45777</x:v>
      </x:c>
      <x:c r="Y20" s="78" t="n">
        <x:v>0</x:v>
      </x:c>
    </x:row>
    <x:row r="21" ht="21" customHeight="1">
      <x:c r="A21" t="str">
        <x:v>P01-M2</x:v>
      </x:c>
      <x:c r="B21" t="str">
        <x:v>P01</x:v>
      </x:c>
      <x:c r="C21" t="str">
        <x:v>Contract Award / NTP</x:v>
      </x:c>
      <x:c r="D21" t="str">
        <x:v>1.01.3.2</x:v>
      </x:c>
      <x:c r="E21" s="54" t="n">
        <x:v>45791</x:v>
      </x:c>
      <x:c r="F21" s="54" t="n">
        <x:v>45791</x:v>
      </x:c>
      <x:c r="G21" s="54"/>
      <x:c r="H21" s="54"/>
      <x:c r="I21" s="54"/>
      <x:c r="J21" s="54"/>
      <x:c r="K21" t="n">
        <x:v>0</x:v>
      </x:c>
      <x:c r="L21" t="str">
        <x:v>P01-A5b, P01-A4b</x:v>
      </x:c>
      <x:c r="M21"/>
      <x:c r="N21" s="21" t="b">
        <x:v>1</x:v>
      </x:c>
      <x:c r="O21" s="21" t="b">
        <x:v>1</x:v>
      </x:c>
      <x:c r="P21" t="str">
        <x:v>P01-CA03</x:v>
      </x:c>
      <x:c r="Q21" t="str">
        <x:v>P01-WP032</x:v>
      </x:c>
      <x:c r="R21" t="str">
        <x:v>Milestone</x:v>
      </x:c>
      <x:c r="S21" t="str">
        <x:v>Approved standard milestone; exact milestone date reconstructed from final network</x:v>
      </x:c>
      <x:c r="T21" t="str">
        <x:v>UNRESOLVED: milestone depends on reconstructed P01/P02 network; exact approved date not recoverable from available source | Scenario dates calculated from reconstructed logic, not source recovered</x:v>
      </x:c>
      <x:c r="U21" s="54" t="n">
        <x:v>45791</x:v>
      </x:c>
      <x:c r="V21" s="54" t="n">
        <x:v>45791</x:v>
      </x:c>
      <x:c r="W21" s="54" t="n">
        <x:v>45791</x:v>
      </x:c>
      <x:c r="X21" s="54" t="n">
        <x:v>45791</x:v>
      </x:c>
      <x:c r="Y21" s="78" t="n">
        <x:v>0</x:v>
      </x:c>
    </x:row>
    <x:row r="22" ht="21" customHeight="1">
      <x:c r="A22" t="str">
        <x:v>P01-A11</x:v>
      </x:c>
      <x:c r="B22" t="str">
        <x:v>P01</x:v>
      </x:c>
      <x:c r="C22" t="str">
        <x:v>Pressure Testing &amp; Disinfection</x:v>
      </x:c>
      <x:c r="D22" t="str">
        <x:v>1.01.5.1</x:v>
      </x:c>
      <x:c r="E22" s="54" t="n">
        <x:v>45937</x:v>
      </x:c>
      <x:c r="F22" s="54" t="n">
        <x:v>45943</x:v>
      </x:c>
      <x:c r="G22" s="54"/>
      <x:c r="H22" s="54"/>
      <x:c r="I22" s="54"/>
      <x:c r="J22" s="54"/>
      <x:c r="K22" t="n">
        <x:v>5</x:v>
      </x:c>
      <x:c r="L22" t="str">
        <x:v>P01-A8, P01-A9, P01-A9b</x:v>
      </x:c>
      <x:c r="M22"/>
      <x:c r="N22" s="21" t="b">
        <x:v>0</x:v>
      </x:c>
      <x:c r="O22" s="21" t="b">
        <x:v>1</x:v>
      </x:c>
      <x:c r="P22" t="str">
        <x:v>P01-CA05</x:v>
      </x:c>
      <x:c r="Q22" t="str">
        <x:v>P01-WP051</x:v>
      </x:c>
      <x:c r="R22" t="str">
        <x:v>Task</x:v>
      </x:c>
      <x:c r="S22" t="str">
        <x:v>Approved P01 schedule</x:v>
      </x:c>
      <x:c r="T22" t="str">
        <x:v>Source-derived / reconstructed network | Scenario dates calculated from reconstructed logic, not source recovered</x:v>
      </x:c>
      <x:c r="U22" s="54" t="n">
        <x:v>45937</x:v>
      </x:c>
      <x:c r="V22" s="54" t="n">
        <x:v>45943</x:v>
      </x:c>
      <x:c r="W22" s="54" t="n">
        <x:v>45937</x:v>
      </x:c>
      <x:c r="X22" s="54" t="n">
        <x:v>45943</x:v>
      </x:c>
      <x:c r="Y22" s="78" t="n">
        <x:v>0</x:v>
      </x:c>
    </x:row>
    <x:row r="23" ht="21" customHeight="1">
      <x:c r="A23" t="str">
        <x:v>P01-A12</x:v>
      </x:c>
      <x:c r="B23" t="str">
        <x:v>P01</x:v>
      </x:c>
      <x:c r="C23" t="str">
        <x:v>Bacteriological Sampling &amp; Regulatory Clearance</x:v>
      </x:c>
      <x:c r="D23" t="str">
        <x:v>1.01.2.2</x:v>
      </x:c>
      <x:c r="E23" s="54" t="n">
        <x:v>45944</x:v>
      </x:c>
      <x:c r="F23" s="54" t="n">
        <x:v>45950</x:v>
      </x:c>
      <x:c r="G23" s="54"/>
      <x:c r="H23" s="54"/>
      <x:c r="I23" s="54"/>
      <x:c r="J23" s="54"/>
      <x:c r="K23" t="n">
        <x:v>5</x:v>
      </x:c>
      <x:c r="L23" t="str">
        <x:v>P01-A11</x:v>
      </x:c>
      <x:c r="M23"/>
      <x:c r="N23" s="21" t="b">
        <x:v>0</x:v>
      </x:c>
      <x:c r="O23" s="21" t="b">
        <x:v>1</x:v>
      </x:c>
      <x:c r="P23" t="str">
        <x:v>P01-CA02</x:v>
      </x:c>
      <x:c r="Q23" t="str">
        <x:v>P01-WP022</x:v>
      </x:c>
      <x:c r="R23" t="str">
        <x:v>Task</x:v>
      </x:c>
      <x:c r="S23" t="str">
        <x:v>Approved P01 schedule</x:v>
      </x:c>
      <x:c r="T23" t="str">
        <x:v>Source-derived / reconstructed network | Scenario dates calculated from reconstructed logic, not source recovered</x:v>
      </x:c>
      <x:c r="U23" s="54" t="n">
        <x:v>45944</x:v>
      </x:c>
      <x:c r="V23" s="54" t="n">
        <x:v>45950</x:v>
      </x:c>
      <x:c r="W23" s="54" t="n">
        <x:v>45944</x:v>
      </x:c>
      <x:c r="X23" s="54" t="n">
        <x:v>45950</x:v>
      </x:c>
      <x:c r="Y23" s="78" t="n">
        <x:v>0</x:v>
      </x:c>
    </x:row>
    <x:row r="24" ht="21" customHeight="1">
      <x:c r="A24" t="str">
        <x:v>P01-A10</x:v>
      </x:c>
      <x:c r="B24" t="str">
        <x:v>P01</x:v>
      </x:c>
      <x:c r="C24" t="str">
        <x:v>Pavement &amp; Surface Restoration</x:v>
      </x:c>
      <x:c r="D24" t="str">
        <x:v>1.01.4.3</x:v>
      </x:c>
      <x:c r="E24" s="54" t="n">
        <x:v>45951</x:v>
      </x:c>
      <x:c r="F24" s="54" t="n">
        <x:v>45971</x:v>
      </x:c>
      <x:c r="G24" s="54"/>
      <x:c r="H24" s="54"/>
      <x:c r="I24" s="54"/>
      <x:c r="J24" s="54"/>
      <x:c r="K24" t="n">
        <x:v>15</x:v>
      </x:c>
      <x:c r="L24" t="str">
        <x:v>P01-A12</x:v>
      </x:c>
      <x:c r="M24"/>
      <x:c r="N24" s="21" t="b">
        <x:v>0</x:v>
      </x:c>
      <x:c r="O24" s="21" t="b">
        <x:v>1</x:v>
      </x:c>
      <x:c r="P24" t="str">
        <x:v>P01-CA04</x:v>
      </x:c>
      <x:c r="Q24" t="str">
        <x:v>P01-WP043</x:v>
      </x:c>
      <x:c r="R24" t="str">
        <x:v>Task</x:v>
      </x:c>
      <x:c r="S24" t="str">
        <x:v>Approved P01 schedule</x:v>
      </x:c>
      <x:c r="T24" t="str">
        <x:v>Source-derived / reconstructed network | Scenario dates calculated from reconstructed logic, not source recovered</x:v>
      </x:c>
      <x:c r="U24" s="54" t="n">
        <x:v>45951</x:v>
      </x:c>
      <x:c r="V24" s="54" t="n">
        <x:v>45971</x:v>
      </x:c>
      <x:c r="W24" s="54" t="n">
        <x:v>45951</x:v>
      </x:c>
      <x:c r="X24" s="54" t="n">
        <x:v>45971</x:v>
      </x:c>
      <x:c r="Y24" s="78" t="n">
        <x:v>0</x:v>
      </x:c>
    </x:row>
    <x:row r="25" ht="21" customHeight="1">
      <x:c r="A25" t="str">
        <x:v>P01-A13</x:v>
      </x:c>
      <x:c r="B25" t="str">
        <x:v>P01</x:v>
      </x:c>
      <x:c r="C25" t="str">
        <x:v>Documentation &amp; Turnover</x:v>
      </x:c>
      <x:c r="D25" t="str">
        <x:v>1.01.6.1</x:v>
      </x:c>
      <x:c r="E25" s="54" t="n">
        <x:v>45986</x:v>
      </x:c>
      <x:c r="F25" s="54" t="n">
        <x:v>45999</x:v>
      </x:c>
      <x:c r="G25" s="54"/>
      <x:c r="H25" s="54"/>
      <x:c r="I25" s="54"/>
      <x:c r="J25" s="54"/>
      <x:c r="K25" t="n">
        <x:v>10</x:v>
      </x:c>
      <x:c r="L25" t="str">
        <x:v>P01-M3</x:v>
      </x:c>
      <x:c r="M25"/>
      <x:c r="N25" s="21" t="b">
        <x:v>0</x:v>
      </x:c>
      <x:c r="O25" s="21" t="b">
        <x:v>1</x:v>
      </x:c>
      <x:c r="P25" t="str">
        <x:v>P01-CA06</x:v>
      </x:c>
      <x:c r="Q25" t="str">
        <x:v>P01-WP061</x:v>
      </x:c>
      <x:c r="R25" t="str">
        <x:v>Task</x:v>
      </x:c>
      <x:c r="S25" t="str">
        <x:v>Approved P01 schedule</x:v>
      </x:c>
      <x:c r="T25" t="str">
        <x:v>Source-derived / reconstructed network | Scenario dates calculated from reconstructed logic, not source recovered | PROPOSED AFTER SUBSTANTIAL COMPLETION: final turnover -&gt; financial closeout -&gt; final completion (not original-source recovered)</x:v>
      </x:c>
      <x:c r="U25" s="54" t="n">
        <x:v>45986</x:v>
      </x:c>
      <x:c r="V25" s="54" t="n">
        <x:v>45999</x:v>
      </x:c>
      <x:c r="W25" s="54" t="n">
        <x:v>45986</x:v>
      </x:c>
      <x:c r="X25" s="54" t="n">
        <x:v>45999</x:v>
      </x:c>
      <x:c r="Y25" s="78" t="n">
        <x:v>0</x:v>
      </x:c>
    </x:row>
    <x:row r="26" ht="21" customHeight="1">
      <x:c r="A26" t="str">
        <x:v>P01-A14</x:v>
      </x:c>
      <x:c r="B26" t="str">
        <x:v>P01</x:v>
      </x:c>
      <x:c r="C26" t="str">
        <x:v>Financial Closeout</x:v>
      </x:c>
      <x:c r="D26" t="str">
        <x:v>1.01.6.2</x:v>
      </x:c>
      <x:c r="E26" s="54" t="n">
        <x:v>46000</x:v>
      </x:c>
      <x:c r="F26" s="54" t="n">
        <x:v>46020</x:v>
      </x:c>
      <x:c r="G26" s="54"/>
      <x:c r="H26" s="54"/>
      <x:c r="I26" s="54"/>
      <x:c r="J26" s="54"/>
      <x:c r="K26" t="n">
        <x:v>15</x:v>
      </x:c>
      <x:c r="L26" t="str">
        <x:v>P01-A13, P01-A15</x:v>
      </x:c>
      <x:c r="M26"/>
      <x:c r="N26" s="21" t="b">
        <x:v>0</x:v>
      </x:c>
      <x:c r="O26" s="21" t="b">
        <x:v>1</x:v>
      </x:c>
      <x:c r="P26" t="str">
        <x:v>P01-CA06</x:v>
      </x:c>
      <x:c r="Q26" t="str">
        <x:v>P01-WP062</x:v>
      </x:c>
      <x:c r="R26" t="str">
        <x:v>Task</x:v>
      </x:c>
      <x:c r="S26" t="str">
        <x:v>Approved P01 schedule</x:v>
      </x:c>
      <x:c r="T26" t="str">
        <x:v>Source-derived / reconstructed network | Scenario dates calculated from reconstructed logic, not source recovered | PROPOSED AFTER SUBSTANTIAL COMPLETION: final turnover -&gt; financial closeout -&gt; final completion (not original-source recovered)</x:v>
      </x:c>
      <x:c r="U26" s="54" t="n">
        <x:v>46000</x:v>
      </x:c>
      <x:c r="V26" s="54" t="n">
        <x:v>46020</x:v>
      </x:c>
      <x:c r="W26" s="54" t="n">
        <x:v>46000</x:v>
      </x:c>
      <x:c r="X26" s="54" t="n">
        <x:v>46020</x:v>
      </x:c>
      <x:c r="Y26" s="78" t="n">
        <x:v>0</x:v>
      </x:c>
    </x:row>
    <x:row r="27" ht="21" customHeight="1">
      <x:c r="A27" t="str">
        <x:v>P01-A15</x:v>
      </x:c>
      <x:c r="B27" t="str">
        <x:v>P01</x:v>
      </x:c>
      <x:c r="C27" t="str">
        <x:v>Final Inspection &amp; Punch List</x:v>
      </x:c>
      <x:c r="D27" t="str">
        <x:v>1.01.4.1</x:v>
      </x:c>
      <x:c r="E27" s="54" t="n">
        <x:v>45972</x:v>
      </x:c>
      <x:c r="F27" s="54" t="n">
        <x:v>45985</x:v>
      </x:c>
      <x:c r="G27" s="54"/>
      <x:c r="H27" s="54"/>
      <x:c r="I27" s="54"/>
      <x:c r="J27" s="54"/>
      <x:c r="K27" t="n">
        <x:v>10</x:v>
      </x:c>
      <x:c r="L27" t="str">
        <x:v>P01-A10</x:v>
      </x:c>
      <x:c r="M27"/>
      <x:c r="N27" s="21" t="b">
        <x:v>0</x:v>
      </x:c>
      <x:c r="O27" s="21" t="b">
        <x:v>1</x:v>
      </x:c>
      <x:c r="P27" t="str">
        <x:v>P01-CA04</x:v>
      </x:c>
      <x:c r="Q27" t="str">
        <x:v>P01-WP041</x:v>
      </x:c>
      <x:c r="R27" t="str">
        <x:v>Task</x:v>
      </x:c>
      <x:c r="S27" t="str">
        <x:v>PROVISIONAL SYNTHETIC (user approved for planning only); exact original audit duration unavailable; retained 10 business days</x:v>
      </x:c>
      <x:c r="T27" t="str">
        <x:v>USER-APPROVED PROVISIONAL SYNTHETIC DURATION; NOT SOURCE RECOVERED | APPROVED PROVISIONAL SYNTHETIC DURATION; NOT SOURCE-RECOVERED; DATE/NETWORK NOT BASELINE-APPROVED | Scenario dates calculated from reconstructed logic, not source recovered</x:v>
      </x:c>
      <x:c r="U27" s="54" t="n">
        <x:v>45972</x:v>
      </x:c>
      <x:c r="V27" s="54" t="n">
        <x:v>45985</x:v>
      </x:c>
      <x:c r="W27" s="54" t="n">
        <x:v>45972</x:v>
      </x:c>
      <x:c r="X27" s="54" t="n">
        <x:v>45985</x:v>
      </x:c>
      <x:c r="Y27" s="78" t="n">
        <x:v>0</x:v>
      </x:c>
    </x:row>
    <x:row r="28" ht="21" customHeight="1">
      <x:c r="A28" t="str">
        <x:v>P01-M3</x:v>
      </x:c>
      <x:c r="B28" t="str">
        <x:v>P01</x:v>
      </x:c>
      <x:c r="C28" t="str">
        <x:v>Substantial Completion</x:v>
      </x:c>
      <x:c r="D28" t="str">
        <x:v>1.01.5.1</x:v>
      </x:c>
      <x:c r="E28" s="54" t="n">
        <x:v>45985</x:v>
      </x:c>
      <x:c r="F28" s="54" t="n">
        <x:v>45985</x:v>
      </x:c>
      <x:c r="G28" s="54"/>
      <x:c r="H28" s="54"/>
      <x:c r="I28" s="54"/>
      <x:c r="J28" s="54"/>
      <x:c r="K28" t="n">
        <x:v>0</x:v>
      </x:c>
      <x:c r="L28" t="str">
        <x:v>P01-A15</x:v>
      </x:c>
      <x:c r="M28"/>
      <x:c r="N28" s="21" t="b">
        <x:v>1</x:v>
      </x:c>
      <x:c r="O28" s="21" t="b">
        <x:v>1</x:v>
      </x:c>
      <x:c r="P28" t="str">
        <x:v>P01-CA05</x:v>
      </x:c>
      <x:c r="Q28" t="str">
        <x:v>P01-WP051</x:v>
      </x:c>
      <x:c r="R28" t="str">
        <x:v>Milestone</x:v>
      </x:c>
      <x:c r="S28" t="str">
        <x:v>Approved standard milestone; exact milestone date reconstructed from final network</x:v>
      </x:c>
      <x:c r="T28" t="str">
        <x:v>UNRESOLVED: milestone depends on reconstructed P01/P02 network; exact approved date not recoverable from available source | Scenario dates calculated from reconstructed logic, not source recovered</x:v>
      </x:c>
      <x:c r="U28" s="54" t="n">
        <x:v>45985</x:v>
      </x:c>
      <x:c r="V28" s="54" t="n">
        <x:v>45985</x:v>
      </x:c>
      <x:c r="W28" s="54" t="n">
        <x:v>45985</x:v>
      </x:c>
      <x:c r="X28" s="54" t="n">
        <x:v>45985</x:v>
      </x:c>
      <x:c r="Y28" s="78" t="n">
        <x:v>0</x:v>
      </x:c>
    </x:row>
    <x:row r="29" ht="21" customHeight="1">
      <x:c r="A29" t="str">
        <x:v>P01-M4</x:v>
      </x:c>
      <x:c r="B29" t="str">
        <x:v>P01</x:v>
      </x:c>
      <x:c r="C29" t="str">
        <x:v>Final Completion</x:v>
      </x:c>
      <x:c r="D29" t="str">
        <x:v>1.01.4.1</x:v>
      </x:c>
      <x:c r="E29" s="54" t="n">
        <x:v>46020</x:v>
      </x:c>
      <x:c r="F29" s="54" t="n">
        <x:v>46020</x:v>
      </x:c>
      <x:c r="G29" s="54"/>
      <x:c r="H29" s="54"/>
      <x:c r="I29" s="54"/>
      <x:c r="J29" s="54"/>
      <x:c r="K29" t="n">
        <x:v>0</x:v>
      </x:c>
      <x:c r="L29" t="str">
        <x:v>P01-A14</x:v>
      </x:c>
      <x:c r="M29"/>
      <x:c r="N29" s="21" t="b">
        <x:v>1</x:v>
      </x:c>
      <x:c r="O29" s="21" t="b">
        <x:v>1</x:v>
      </x:c>
      <x:c r="P29" t="str">
        <x:v>P01-CA04</x:v>
      </x:c>
      <x:c r="Q29" t="str">
        <x:v>P01-WP041</x:v>
      </x:c>
      <x:c r="R29" t="str">
        <x:v>Milestone</x:v>
      </x:c>
      <x:c r="S29" t="str">
        <x:v>Approved milestone / interface milestone</x:v>
      </x:c>
      <x:c r="T29" t="str">
        <x:v>Source-explicit validated finish date | Scenario dates calculated from reconstructed logic, not source recovered | PROPOSED AFTER SUBSTANTIAL COMPLETION: final turnover -&gt; financial closeout -&gt; final completion (not original-source recovered)</x:v>
      </x:c>
      <x:c r="U29" s="54" t="n">
        <x:v>46020</x:v>
      </x:c>
      <x:c r="V29" s="54" t="n">
        <x:v>46020</x:v>
      </x:c>
      <x:c r="W29" s="54" t="n">
        <x:v>46020</x:v>
      </x:c>
      <x:c r="X29" s="54" t="n">
        <x:v>46020</x:v>
      </x:c>
      <x:c r="Y29" s="78" t="n">
        <x:v>0</x:v>
      </x:c>
    </x:row>
    <x:row r="30" ht="21" customHeight="1">
      <x:c r="A30" t="str">
        <x:v>P02-A1</x:v>
      </x:c>
      <x:c r="B30" t="str">
        <x:v>P02</x:v>
      </x:c>
      <x:c r="C30" t="str">
        <x:v>Conduct Needs Assessment</x:v>
      </x:c>
      <x:c r="D30" t="str">
        <x:v>1.02.1.1</x:v>
      </x:c>
      <x:c r="E30" s="54" t="n">
        <x:v>45691</x:v>
      </x:c>
      <x:c r="F30" s="54" t="n">
        <x:v>45702</x:v>
      </x:c>
      <x:c r="G30" s="54"/>
      <x:c r="H30" s="54"/>
      <x:c r="I30" s="54"/>
      <x:c r="J30" s="54"/>
      <x:c r="K30" t="n">
        <x:v>10</x:v>
      </x:c>
      <x:c r="L30" t="str"/>
      <x:c r="M30"/>
      <x:c r="N30" s="21" t="b">
        <x:v>0</x:v>
      </x:c>
      <x:c r="O30" s="21" t="b">
        <x:v>1</x:v>
      </x:c>
      <x:c r="P30" t="str">
        <x:v>P02-CA01</x:v>
      </x:c>
      <x:c r="Q30" t="str">
        <x:v>P02-WP011</x:v>
      </x:c>
      <x:c r="R30" t="str">
        <x:v>Task</x:v>
      </x:c>
      <x:c r="S30" t="str">
        <x:v>Project-type realism</x:v>
      </x:c>
      <x:c r="T30" t="str">
        <x:v>Source-derived / reconstructed network | Scenario dates calculated from reconstructed logic, not source recovered</x:v>
      </x:c>
      <x:c r="U30" s="54" t="n">
        <x:v>45691</x:v>
      </x:c>
      <x:c r="V30" s="54" t="n">
        <x:v>45702</x:v>
      </x:c>
      <x:c r="W30" s="54" t="n">
        <x:v>45691</x:v>
      </x:c>
      <x:c r="X30" s="54" t="n">
        <x:v>45702</x:v>
      </x:c>
      <x:c r="Y30" s="78" t="n">
        <x:v>0</x:v>
      </x:c>
    </x:row>
    <x:row r="31" ht="21" customHeight="1">
      <x:c r="A31" t="str">
        <x:v>P02-A11a</x:v>
      </x:c>
      <x:c r="B31" t="str">
        <x:v>P02</x:v>
      </x:c>
      <x:c r="C31" t="str">
        <x:v>Switchgear/VFD Submittal &amp; Shop Drawing Review</x:v>
      </x:c>
      <x:c r="D31" t="str">
        <x:v>1.02.4.2</x:v>
      </x:c>
      <x:c r="E31" s="54" t="n">
        <x:v>45810</x:v>
      </x:c>
      <x:c r="F31" s="54" t="n">
        <x:v>45835</x:v>
      </x:c>
      <x:c r="G31" s="54"/>
      <x:c r="H31" s="54"/>
      <x:c r="I31" s="54"/>
      <x:c r="J31" s="54"/>
      <x:c r="K31" t="n">
        <x:v>20</x:v>
      </x:c>
      <x:c r="L31" t="str">
        <x:v>P02-M2</x:v>
      </x:c>
      <x:c r="M31"/>
      <x:c r="N31" s="21" t="b">
        <x:v>0</x:v>
      </x:c>
      <x:c r="O31" s="21" t="b">
        <x:v>0</x:v>
      </x:c>
      <x:c r="P31" t="str">
        <x:v>P02-CA04</x:v>
      </x:c>
      <x:c r="Q31" t="str">
        <x:v>P02-WP042</x:v>
      </x:c>
      <x:c r="R31" t="str">
        <x:v>Task</x:v>
      </x:c>
      <x:c r="S31" t="str">
        <x:v>Synthetic reconstruction from approved audit standard</x:v>
      </x:c>
      <x:c r="T31" t="str">
        <x:v>Source-derived / reconstructed network | Scenario dates calculated from reconstructed logic, not source recovered</x:v>
      </x:c>
      <x:c r="U31" s="54" t="n">
        <x:v>45810</x:v>
      </x:c>
      <x:c r="V31" s="54" t="n">
        <x:v>45835</x:v>
      </x:c>
      <x:c r="W31" s="54" t="n">
        <x:v>45831</x:v>
      </x:c>
      <x:c r="X31" s="54" t="n">
        <x:v>45856</x:v>
      </x:c>
      <x:c r="Y31" s="78" t="n">
        <x:v>15</x:v>
      </x:c>
    </x:row>
    <x:row r="32" ht="21" customHeight="1">
      <x:c r="A32" t="str">
        <x:v>P02-A6</x:v>
      </x:c>
      <x:c r="B32" t="str">
        <x:v>P02</x:v>
      </x:c>
      <x:c r="C32" t="str">
        <x:v>Contractor Mobilization</x:v>
      </x:c>
      <x:c r="D32" t="str">
        <x:v>1.02.3.2</x:v>
      </x:c>
      <x:c r="E32" s="54" t="n">
        <x:v>45810</x:v>
      </x:c>
      <x:c r="F32" s="54" t="n">
        <x:v>45821</x:v>
      </x:c>
      <x:c r="G32" s="54"/>
      <x:c r="H32" s="54"/>
      <x:c r="I32" s="54"/>
      <x:c r="J32" s="54"/>
      <x:c r="K32" t="n">
        <x:v>10</x:v>
      </x:c>
      <x:c r="L32" t="str">
        <x:v>P02-M2</x:v>
      </x:c>
      <x:c r="M32"/>
      <x:c r="N32" s="21" t="b">
        <x:v>0</x:v>
      </x:c>
      <x:c r="O32" s="21" t="b">
        <x:v>0</x:v>
      </x:c>
      <x:c r="P32" t="str">
        <x:v>P02-CA03</x:v>
      </x:c>
      <x:c r="Q32" t="str">
        <x:v>P02-WP032</x:v>
      </x:c>
      <x:c r="R32" t="str">
        <x:v>Task</x:v>
      </x:c>
      <x:c r="S32" t="str">
        <x:v>Approved P02 schedule</x:v>
      </x:c>
      <x:c r="T32" t="str">
        <x:v>Source-derived / reconstructed network | Scenario dates calculated from reconstructed logic, not source recovered</x:v>
      </x:c>
      <x:c r="U32" s="54" t="n">
        <x:v>45810</x:v>
      </x:c>
      <x:c r="V32" s="54" t="n">
        <x:v>45821</x:v>
      </x:c>
      <x:c r="W32" s="54" t="n">
        <x:v>45939</x:v>
      </x:c>
      <x:c r="X32" s="54" t="n">
        <x:v>45952</x:v>
      </x:c>
      <x:c r="Y32" s="78" t="n">
        <x:v>93</x:v>
      </x:c>
    </x:row>
    <x:row r="33" ht="21" customHeight="1">
      <x:c r="A33" t="str">
        <x:v>P02-A6b</x:v>
      </x:c>
      <x:c r="B33" t="str">
        <x:v>P02</x:v>
      </x:c>
      <x:c r="C33" t="str">
        <x:v>Bypass Planning &amp; Operations Coordination</x:v>
      </x:c>
      <x:c r="D33" t="str">
        <x:v>1.02.4.1</x:v>
      </x:c>
      <x:c r="E33" s="54" t="n">
        <x:v>45691</x:v>
      </x:c>
      <x:c r="F33" s="54" t="n">
        <x:v>45709</x:v>
      </x:c>
      <x:c r="G33" s="54"/>
      <x:c r="H33" s="54"/>
      <x:c r="I33" s="54"/>
      <x:c r="J33" s="54"/>
      <x:c r="K33" t="n">
        <x:v>15</x:v>
      </x:c>
      <x:c r="L33" t="str"/>
      <x:c r="M33"/>
      <x:c r="N33" s="21" t="b">
        <x:v>0</x:v>
      </x:c>
      <x:c r="O33" s="21" t="b">
        <x:v>0</x:v>
      </x:c>
      <x:c r="P33" t="str">
        <x:v>P02-CA04</x:v>
      </x:c>
      <x:c r="Q33" t="str">
        <x:v>P02-WP041</x:v>
      </x:c>
      <x:c r="R33" t="str">
        <x:v>Task</x:v>
      </x:c>
      <x:c r="S33" t="str">
        <x:v>PROVISIONAL SYNTHETIC (user approved for planning only); exact original audit duration unavailable; retained 15 business days</x:v>
      </x:c>
      <x:c r="T33" t="str">
        <x:v>USER-APPROVED PROVISIONAL SYNTHETIC DURATION; NOT SOURCE RECOVERED | APPROVED PROVISIONAL SYNTHETIC DURATION; NOT SOURCE-RECOVERED; DATE/NETWORK NOT BASELINE-APPROVED | Scenario dates calculated from reconstructed logic, not source recovered</x:v>
      </x:c>
      <x:c r="U33" s="54" t="n">
        <x:v>45691</x:v>
      </x:c>
      <x:c r="V33" s="54" t="n">
        <x:v>45709</x:v>
      </x:c>
      <x:c r="W33" s="54" t="n">
        <x:v>45932</x:v>
      </x:c>
      <x:c r="X33" s="54" t="n">
        <x:v>45952</x:v>
      </x:c>
      <x:c r="Y33" s="78" t="n">
        <x:v>173</x:v>
      </x:c>
    </x:row>
    <x:row r="34" ht="21" customHeight="1">
      <x:c r="A34" t="str">
        <x:v>P02-A6c</x:v>
      </x:c>
      <x:c r="B34" t="str">
        <x:v>P02</x:v>
      </x:c>
      <x:c r="C34" t="str">
        <x:v>Electric Utility Coordination</x:v>
      </x:c>
      <x:c r="D34" t="str">
        <x:v>1.02.4.2</x:v>
      </x:c>
      <x:c r="E34" s="54" t="n">
        <x:v>45691</x:v>
      </x:c>
      <x:c r="F34" s="54" t="n">
        <x:v>45709</x:v>
      </x:c>
      <x:c r="G34" s="54"/>
      <x:c r="H34" s="54"/>
      <x:c r="I34" s="54"/>
      <x:c r="J34" s="54"/>
      <x:c r="K34" t="n">
        <x:v>15</x:v>
      </x:c>
      <x:c r="L34" t="str"/>
      <x:c r="M34"/>
      <x:c r="N34" s="21" t="b">
        <x:v>0</x:v>
      </x:c>
      <x:c r="O34" s="21" t="b">
        <x:v>0</x:v>
      </x:c>
      <x:c r="P34" t="str">
        <x:v>P02-CA04</x:v>
      </x:c>
      <x:c r="Q34" t="str">
        <x:v>P02-WP042</x:v>
      </x:c>
      <x:c r="R34" t="str">
        <x:v>Task</x:v>
      </x:c>
      <x:c r="S34" t="str">
        <x:v>PROVISIONAL SYNTHETIC (user approved for planning only); exact original audit duration unavailable; retained 15 business days</x:v>
      </x:c>
      <x:c r="T34" t="str">
        <x:v>USER-APPROVED PROVISIONAL SYNTHETIC DURATION; NOT SOURCE RECOVERED | APPROVED PROVISIONAL SYNTHETIC DURATION; NOT SOURCE-RECOVERED; DATE/NETWORK NOT BASELINE-APPROVED | Scenario dates calculated from reconstructed logic, not source recovered</x:v>
      </x:c>
      <x:c r="U34" s="54" t="n">
        <x:v>45691</x:v>
      </x:c>
      <x:c r="V34" s="54" t="n">
        <x:v>45709</x:v>
      </x:c>
      <x:c r="W34" s="54" t="n">
        <x:v>45974</x:v>
      </x:c>
      <x:c r="X34" s="54" t="n">
        <x:v>45994</x:v>
      </x:c>
      <x:c r="Y34" s="78" t="n">
        <x:v>203</x:v>
      </x:c>
    </x:row>
    <x:row r="35" ht="21" customHeight="1">
      <x:c r="A35" t="str">
        <x:v>P02-A7a</x:v>
      </x:c>
      <x:c r="B35" t="str">
        <x:v>P02</x:v>
      </x:c>
      <x:c r="C35" t="str">
        <x:v>Pump/Motor Submittal &amp; Shop Drawing Review</x:v>
      </x:c>
      <x:c r="D35" t="str">
        <x:v>1.02.4.1</x:v>
      </x:c>
      <x:c r="E35" s="54" t="n">
        <x:v>45810</x:v>
      </x:c>
      <x:c r="F35" s="54" t="n">
        <x:v>45835</x:v>
      </x:c>
      <x:c r="G35" s="54"/>
      <x:c r="H35" s="54"/>
      <x:c r="I35" s="54"/>
      <x:c r="J35" s="54"/>
      <x:c r="K35" t="n">
        <x:v>20</x:v>
      </x:c>
      <x:c r="L35" t="str">
        <x:v>P02-M2</x:v>
      </x:c>
      <x:c r="M35"/>
      <x:c r="N35" s="21" t="b">
        <x:v>0</x:v>
      </x:c>
      <x:c r="O35" s="21" t="b">
        <x:v>1</x:v>
      </x:c>
      <x:c r="P35" t="str">
        <x:v>P02-CA04</x:v>
      </x:c>
      <x:c r="Q35" t="str">
        <x:v>P02-WP041</x:v>
      </x:c>
      <x:c r="R35" t="str">
        <x:v>Task</x:v>
      </x:c>
      <x:c r="S35" t="str">
        <x:v>Synthetic reconstruction from approved audit standard</x:v>
      </x:c>
      <x:c r="T35" t="str">
        <x:v>Source-derived / reconstructed network | Scenario dates calculated from reconstructed logic, not source recovered</x:v>
      </x:c>
      <x:c r="U35" s="54" t="n">
        <x:v>45810</x:v>
      </x:c>
      <x:c r="V35" s="54" t="n">
        <x:v>45835</x:v>
      </x:c>
      <x:c r="W35" s="54" t="n">
        <x:v>45810</x:v>
      </x:c>
      <x:c r="X35" s="54" t="n">
        <x:v>45835</x:v>
      </x:c>
      <x:c r="Y35" s="78" t="n">
        <x:v>0</x:v>
      </x:c>
    </x:row>
    <x:row r="36" ht="21" customHeight="1">
      <x:c r="A36" t="str">
        <x:v>P02-A2</x:v>
      </x:c>
      <x:c r="B36" t="str">
        <x:v>P02</x:v>
      </x:c>
      <x:c r="C36" t="str">
        <x:v>Finalize Project Definition &amp; Scope</x:v>
      </x:c>
      <x:c r="D36" t="str">
        <x:v>1.02.1.2</x:v>
      </x:c>
      <x:c r="E36" s="54" t="n">
        <x:v>45705</x:v>
      </x:c>
      <x:c r="F36" s="54" t="n">
        <x:v>45709</x:v>
      </x:c>
      <x:c r="G36" s="54"/>
      <x:c r="H36" s="54"/>
      <x:c r="I36" s="54"/>
      <x:c r="J36" s="54"/>
      <x:c r="K36" t="n">
        <x:v>5</x:v>
      </x:c>
      <x:c r="L36" t="str">
        <x:v>P02-A1</x:v>
      </x:c>
      <x:c r="M36"/>
      <x:c r="N36" s="21" t="b">
        <x:v>0</x:v>
      </x:c>
      <x:c r="O36" s="21" t="b">
        <x:v>1</x:v>
      </x:c>
      <x:c r="P36" t="str">
        <x:v>P02-CA01</x:v>
      </x:c>
      <x:c r="Q36" t="str">
        <x:v>P02-WP012</x:v>
      </x:c>
      <x:c r="R36" t="str">
        <x:v>Task</x:v>
      </x:c>
      <x:c r="S36" t="str">
        <x:v>Project-type realism</x:v>
      </x:c>
      <x:c r="T36" t="str">
        <x:v>Source-derived / reconstructed network | Scenario dates calculated from reconstructed logic, not source recovered</x:v>
      </x:c>
      <x:c r="U36" s="54" t="n">
        <x:v>45705</x:v>
      </x:c>
      <x:c r="V36" s="54" t="n">
        <x:v>45709</x:v>
      </x:c>
      <x:c r="W36" s="54" t="n">
        <x:v>45705</x:v>
      </x:c>
      <x:c r="X36" s="54" t="n">
        <x:v>45709</x:v>
      </x:c>
      <x:c r="Y36" s="78" t="n">
        <x:v>0</x:v>
      </x:c>
    </x:row>
    <x:row r="37" ht="21" customHeight="1">
      <x:c r="A37" t="str">
        <x:v>P02-A3</x:v>
      </x:c>
      <x:c r="B37" t="str">
        <x:v>P02</x:v>
      </x:c>
      <x:c r="C37" t="str">
        <x:v>Develop Preliminary Design</x:v>
      </x:c>
      <x:c r="D37" t="str">
        <x:v>1.02.2.1</x:v>
      </x:c>
      <x:c r="E37" s="54" t="n">
        <x:v>45712</x:v>
      </x:c>
      <x:c r="F37" s="54" t="n">
        <x:v>45737</x:v>
      </x:c>
      <x:c r="G37" s="54"/>
      <x:c r="H37" s="54"/>
      <x:c r="I37" s="54"/>
      <x:c r="J37" s="54"/>
      <x:c r="K37" t="n">
        <x:v>20</x:v>
      </x:c>
      <x:c r="L37" t="str">
        <x:v>P02-A2</x:v>
      </x:c>
      <x:c r="M37"/>
      <x:c r="N37" s="21" t="b">
        <x:v>0</x:v>
      </x:c>
      <x:c r="O37" s="21" t="b">
        <x:v>1</x:v>
      </x:c>
      <x:c r="P37" t="str">
        <x:v>P02-CA02</x:v>
      </x:c>
      <x:c r="Q37" t="str">
        <x:v>P02-WP021</x:v>
      </x:c>
      <x:c r="R37" t="str">
        <x:v>Task</x:v>
      </x:c>
      <x:c r="S37" t="str">
        <x:v>Project-type realism</x:v>
      </x:c>
      <x:c r="T37" t="str">
        <x:v>Source-derived / reconstructed network | Scenario dates calculated from reconstructed logic, not source recovered</x:v>
      </x:c>
      <x:c r="U37" s="54" t="n">
        <x:v>45712</x:v>
      </x:c>
      <x:c r="V37" s="54" t="n">
        <x:v>45737</x:v>
      </x:c>
      <x:c r="W37" s="54" t="n">
        <x:v>45712</x:v>
      </x:c>
      <x:c r="X37" s="54" t="n">
        <x:v>45737</x:v>
      </x:c>
      <x:c r="Y37" s="78" t="n">
        <x:v>0</x:v>
      </x:c>
    </x:row>
    <x:row r="38" ht="21" customHeight="1">
      <x:c r="A38" t="str">
        <x:v>P02-A8</x:v>
      </x:c>
      <x:c r="B38" t="str">
        <x:v>P02</x:v>
      </x:c>
      <x:c r="C38" t="str">
        <x:v>Install Temporary Bypass Pumping</x:v>
      </x:c>
      <x:c r="D38" t="str">
        <x:v>1.02.4.1</x:v>
      </x:c>
      <x:c r="E38" s="54" t="n">
        <x:v>45824</x:v>
      </x:c>
      <x:c r="F38" s="54" t="n">
        <x:v>45835</x:v>
      </x:c>
      <x:c r="G38" s="54"/>
      <x:c r="H38" s="54"/>
      <x:c r="I38" s="54"/>
      <x:c r="J38" s="54"/>
      <x:c r="K38" t="n">
        <x:v>10</x:v>
      </x:c>
      <x:c r="L38" t="str">
        <x:v>P02-A6, P02-A6b</x:v>
      </x:c>
      <x:c r="M38"/>
      <x:c r="N38" s="21" t="b">
        <x:v>0</x:v>
      </x:c>
      <x:c r="O38" s="21" t="b">
        <x:v>0</x:v>
      </x:c>
      <x:c r="P38" t="str">
        <x:v>P02-CA04</x:v>
      </x:c>
      <x:c r="Q38" t="str">
        <x:v>P02-WP041</x:v>
      </x:c>
      <x:c r="R38" t="str">
        <x:v>Task</x:v>
      </x:c>
      <x:c r="S38" t="str">
        <x:v>Approved P02 schedule</x:v>
      </x:c>
      <x:c r="T38" t="str">
        <x:v>Source-derived / reconstructed network | Scenario dates calculated from reconstructed logic, not source recovered</x:v>
      </x:c>
      <x:c r="U38" s="54" t="n">
        <x:v>45824</x:v>
      </x:c>
      <x:c r="V38" s="54" t="n">
        <x:v>45835</x:v>
      </x:c>
      <x:c r="W38" s="54" t="n">
        <x:v>45953</x:v>
      </x:c>
      <x:c r="X38" s="54" t="n">
        <x:v>45966</x:v>
      </x:c>
      <x:c r="Y38" s="78" t="n">
        <x:v>93</x:v>
      </x:c>
    </x:row>
    <x:row r="39" ht="21" customHeight="1">
      <x:c r="A39" t="str">
        <x:v>P02-A11b</x:v>
      </x:c>
      <x:c r="B39" t="str">
        <x:v>P02</x:v>
      </x:c>
      <x:c r="C39" t="str">
        <x:v>Switchgear/VFD Fabrication</x:v>
      </x:c>
      <x:c r="D39" t="str">
        <x:v>1.02.4.2</x:v>
      </x:c>
      <x:c r="E39" s="54" t="n">
        <x:v>45838</x:v>
      </x:c>
      <x:c r="F39" s="54" t="n">
        <x:v>45947</x:v>
      </x:c>
      <x:c r="G39" s="54"/>
      <x:c r="H39" s="54"/>
      <x:c r="I39" s="54"/>
      <x:c r="J39" s="54"/>
      <x:c r="K39" t="n">
        <x:v>80</x:v>
      </x:c>
      <x:c r="L39" t="str">
        <x:v>P02-A11a</x:v>
      </x:c>
      <x:c r="M39"/>
      <x:c r="N39" s="21" t="b">
        <x:v>0</x:v>
      </x:c>
      <x:c r="O39" s="21" t="b">
        <x:v>0</x:v>
      </x:c>
      <x:c r="P39" t="str">
        <x:v>P02-CA04</x:v>
      </x:c>
      <x:c r="Q39" t="str">
        <x:v>P02-WP042</x:v>
      </x:c>
      <x:c r="R39" t="str">
        <x:v>Task</x:v>
      </x:c>
      <x:c r="S39" t="str">
        <x:v>Approved equipment-realistic scenario</x:v>
      </x:c>
      <x:c r="T39" t="str">
        <x:v>Source-derived / reconstructed network | Scenario dates calculated from reconstructed logic, not source recovered</x:v>
      </x:c>
      <x:c r="U39" s="54" t="n">
        <x:v>45838</x:v>
      </x:c>
      <x:c r="V39" s="54" t="n">
        <x:v>45947</x:v>
      </x:c>
      <x:c r="W39" s="54" t="n">
        <x:v>45859</x:v>
      </x:c>
      <x:c r="X39" s="54" t="n">
        <x:v>45968</x:v>
      </x:c>
      <x:c r="Y39" s="78" t="n">
        <x:v>15</x:v>
      </x:c>
    </x:row>
    <x:row r="40" ht="21" customHeight="1">
      <x:c r="A40" t="str">
        <x:v>P02-A7b</x:v>
      </x:c>
      <x:c r="B40" t="str">
        <x:v>P02</x:v>
      </x:c>
      <x:c r="C40" t="str">
        <x:v>Pump/Motor Fabrication</x:v>
      </x:c>
      <x:c r="D40" t="str">
        <x:v>1.02.4.1</x:v>
      </x:c>
      <x:c r="E40" s="54" t="n">
        <x:v>45838</x:v>
      </x:c>
      <x:c r="F40" s="54" t="n">
        <x:v>45961</x:v>
      </x:c>
      <x:c r="G40" s="54"/>
      <x:c r="H40" s="54"/>
      <x:c r="I40" s="54"/>
      <x:c r="J40" s="54"/>
      <x:c r="K40" t="n">
        <x:v>90</x:v>
      </x:c>
      <x:c r="L40" t="str">
        <x:v>P02-A7a</x:v>
      </x:c>
      <x:c r="M40"/>
      <x:c r="N40" s="21" t="b">
        <x:v>0</x:v>
      </x:c>
      <x:c r="O40" s="21" t="b">
        <x:v>1</x:v>
      </x:c>
      <x:c r="P40" t="str">
        <x:v>P02-CA04</x:v>
      </x:c>
      <x:c r="Q40" t="str">
        <x:v>P02-WP041</x:v>
      </x:c>
      <x:c r="R40" t="str">
        <x:v>Task</x:v>
      </x:c>
      <x:c r="S40" t="str">
        <x:v>Approved equipment-realistic scenario</x:v>
      </x:c>
      <x:c r="T40" t="str">
        <x:v>Source-derived / reconstructed network | Scenario dates calculated from reconstructed logic, not source recovered</x:v>
      </x:c>
      <x:c r="U40" s="54" t="n">
        <x:v>45838</x:v>
      </x:c>
      <x:c r="V40" s="54" t="n">
        <x:v>45961</x:v>
      </x:c>
      <x:c r="W40" s="54" t="n">
        <x:v>45838</x:v>
      </x:c>
      <x:c r="X40" s="54" t="n">
        <x:v>45961</x:v>
      </x:c>
      <x:c r="Y40" s="78" t="n">
        <x:v>0</x:v>
      </x:c>
    </x:row>
    <x:row r="41" ht="21" customHeight="1">
      <x:c r="A41" t="str">
        <x:v>P02-A9</x:v>
      </x:c>
      <x:c r="B41" t="str">
        <x:v>P02</x:v>
      </x:c>
      <x:c r="C41" t="str">
        <x:v>Demolition &amp; Removal</x:v>
      </x:c>
      <x:c r="D41" t="str">
        <x:v>1.02.4.1</x:v>
      </x:c>
      <x:c r="E41" s="54" t="n">
        <x:v>45838</x:v>
      </x:c>
      <x:c r="F41" s="54" t="n">
        <x:v>45856</x:v>
      </x:c>
      <x:c r="G41" s="54"/>
      <x:c r="H41" s="54"/>
      <x:c r="I41" s="54"/>
      <x:c r="J41" s="54"/>
      <x:c r="K41" t="n">
        <x:v>15</x:v>
      </x:c>
      <x:c r="L41" t="str">
        <x:v>P02-A8</x:v>
      </x:c>
      <x:c r="M41"/>
      <x:c r="N41" s="21" t="b">
        <x:v>0</x:v>
      </x:c>
      <x:c r="O41" s="21" t="b">
        <x:v>0</x:v>
      </x:c>
      <x:c r="P41" t="str">
        <x:v>P02-CA04</x:v>
      </x:c>
      <x:c r="Q41" t="str">
        <x:v>P02-WP041</x:v>
      </x:c>
      <x:c r="R41" t="str">
        <x:v>Task</x:v>
      </x:c>
      <x:c r="S41" t="str">
        <x:v>Approved P02 schedule</x:v>
      </x:c>
      <x:c r="T41" t="str">
        <x:v>Source-derived / reconstructed network | Scenario dates calculated from reconstructed logic, not source recovered</x:v>
      </x:c>
      <x:c r="U41" s="54" t="n">
        <x:v>45838</x:v>
      </x:c>
      <x:c r="V41" s="54" t="n">
        <x:v>45856</x:v>
      </x:c>
      <x:c r="W41" s="54" t="n">
        <x:v>45967</x:v>
      </x:c>
      <x:c r="X41" s="54" t="n">
        <x:v>45987</x:v>
      </x:c>
      <x:c r="Y41" s="78" t="n">
        <x:v>93</x:v>
      </x:c>
    </x:row>
    <x:row r="42" ht="21" customHeight="1">
      <x:c r="A42" t="str">
        <x:v>P02-M3</x:v>
      </x:c>
      <x:c r="B42" t="str">
        <x:v>P02</x:v>
      </x:c>
      <x:c r="C42" t="str">
        <x:v>Bypass Operational</x:v>
      </x:c>
      <x:c r="D42" t="str">
        <x:v>1.02.4.1</x:v>
      </x:c>
      <x:c r="E42" s="54" t="n">
        <x:v>45835</x:v>
      </x:c>
      <x:c r="F42" s="54" t="n">
        <x:v>45835</x:v>
      </x:c>
      <x:c r="G42" s="54"/>
      <x:c r="H42" s="54"/>
      <x:c r="I42" s="54"/>
      <x:c r="J42" s="54"/>
      <x:c r="K42" t="n">
        <x:v>0</x:v>
      </x:c>
      <x:c r="L42" t="str">
        <x:v>P02-A8</x:v>
      </x:c>
      <x:c r="M42"/>
      <x:c r="N42" s="21" t="b">
        <x:v>1</x:v>
      </x:c>
      <x:c r="O42" s="21" t="b">
        <x:v>0</x:v>
      </x:c>
      <x:c r="P42" t="str">
        <x:v>P02-CA04</x:v>
      </x:c>
      <x:c r="Q42" t="str">
        <x:v>P02-WP041</x:v>
      </x:c>
      <x:c r="R42" t="str">
        <x:v>Milestone</x:v>
      </x:c>
      <x:c r="S42" t="str">
        <x:v>Approved P02 milestone</x:v>
      </x:c>
      <x:c r="T42" t="str">
        <x:v>UNRESOLVED: milestone depends on reconstructed P01/P02 network; exact approved date not recoverable from available source | Scenario dates calculated from reconstructed logic, not source recovered</x:v>
      </x:c>
      <x:c r="U42" s="54" t="n">
        <x:v>45835</x:v>
      </x:c>
      <x:c r="V42" s="54" t="n">
        <x:v>45835</x:v>
      </x:c>
      <x:c r="W42" s="54" t="n">
        <x:v>46078</x:v>
      </x:c>
      <x:c r="X42" s="54" t="n">
        <x:v>46078</x:v>
      </x:c>
      <x:c r="Y42" s="78" t="n">
        <x:v>173</x:v>
      </x:c>
    </x:row>
    <x:row r="43" ht="21" customHeight="1">
      <x:c r="A43" t="str">
        <x:v>P02-A4</x:v>
      </x:c>
      <x:c r="B43" t="str">
        <x:v>P02</x:v>
      </x:c>
      <x:c r="C43" t="str">
        <x:v>Complete Final Design</x:v>
      </x:c>
      <x:c r="D43" t="str">
        <x:v>1.02.2.2</x:v>
      </x:c>
      <x:c r="E43" s="54" t="n">
        <x:v>45740</x:v>
      </x:c>
      <x:c r="F43" s="54" t="n">
        <x:v>45772</x:v>
      </x:c>
      <x:c r="G43" s="54"/>
      <x:c r="H43" s="54"/>
      <x:c r="I43" s="54"/>
      <x:c r="J43" s="54"/>
      <x:c r="K43" t="n">
        <x:v>25</x:v>
      </x:c>
      <x:c r="L43" t="str">
        <x:v>P02-A3</x:v>
      </x:c>
      <x:c r="M43"/>
      <x:c r="N43" s="21" t="b">
        <x:v>0</x:v>
      </x:c>
      <x:c r="O43" s="21" t="b">
        <x:v>1</x:v>
      </x:c>
      <x:c r="P43" t="str">
        <x:v>P02-CA02</x:v>
      </x:c>
      <x:c r="Q43" t="str">
        <x:v>P02-WP022</x:v>
      </x:c>
      <x:c r="R43" t="str">
        <x:v>Task</x:v>
      </x:c>
      <x:c r="S43" t="str">
        <x:v>Project-type realism</x:v>
      </x:c>
      <x:c r="T43" t="str">
        <x:v>Source-derived / reconstructed network | Scenario dates calculated from reconstructed logic, not source recovered</x:v>
      </x:c>
      <x:c r="U43" s="54" t="n">
        <x:v>45740</x:v>
      </x:c>
      <x:c r="V43" s="54" t="n">
        <x:v>45772</x:v>
      </x:c>
      <x:c r="W43" s="54" t="n">
        <x:v>45740</x:v>
      </x:c>
      <x:c r="X43" s="54" t="n">
        <x:v>45772</x:v>
      </x:c>
      <x:c r="Y43" s="78" t="n">
        <x:v>0</x:v>
      </x:c>
    </x:row>
    <x:row r="44" ht="21" customHeight="1">
      <x:c r="A44" t="str">
        <x:v>P02-A13</x:v>
      </x:c>
      <x:c r="B44" t="str">
        <x:v>P02</x:v>
      </x:c>
      <x:c r="C44" t="str">
        <x:v>Wetwell Structural Rehabilitation</x:v>
      </x:c>
      <x:c r="D44" t="str">
        <x:v>1.02.4.3</x:v>
      </x:c>
      <x:c r="E44" s="54" t="n">
        <x:v>45859</x:v>
      </x:c>
      <x:c r="F44" s="54" t="n">
        <x:v>45884</x:v>
      </x:c>
      <x:c r="G44" s="54"/>
      <x:c r="H44" s="54"/>
      <x:c r="I44" s="54"/>
      <x:c r="J44" s="54"/>
      <x:c r="K44" t="n">
        <x:v>20</x:v>
      </x:c>
      <x:c r="L44" t="str">
        <x:v>P02-A9</x:v>
      </x:c>
      <x:c r="M44"/>
      <x:c r="N44" s="21" t="b">
        <x:v>0</x:v>
      </x:c>
      <x:c r="O44" s="21" t="b">
        <x:v>0</x:v>
      </x:c>
      <x:c r="P44" t="str">
        <x:v>P02-CA04</x:v>
      </x:c>
      <x:c r="Q44" t="str">
        <x:v>P02-WP043</x:v>
      </x:c>
      <x:c r="R44" t="str">
        <x:v>Task</x:v>
      </x:c>
      <x:c r="S44" t="str">
        <x:v>Approved P02 schedule</x:v>
      </x:c>
      <x:c r="T44" t="str">
        <x:v>Source-derived / reconstructed network | Scenario dates calculated from reconstructed logic, not source recovered</x:v>
      </x:c>
      <x:c r="U44" s="54" t="n">
        <x:v>45859</x:v>
      </x:c>
      <x:c r="V44" s="54" t="n">
        <x:v>45884</x:v>
      </x:c>
      <x:c r="W44" s="54" t="n">
        <x:v>45995</x:v>
      </x:c>
      <x:c r="X44" s="54" t="n">
        <x:v>46022</x:v>
      </x:c>
      <x:c r="Y44" s="78" t="n">
        <x:v>98</x:v>
      </x:c>
    </x:row>
    <x:row r="45" ht="21" customHeight="1">
      <x:c r="A45" t="str">
        <x:v>P02-A5</x:v>
      </x:c>
      <x:c r="B45" t="str">
        <x:v>P02</x:v>
      </x:c>
      <x:c r="C45" t="str">
        <x:v>Prepare &amp; Advertise Bid Package</x:v>
      </x:c>
      <x:c r="D45" t="str">
        <x:v>1.02.3.1</x:v>
      </x:c>
      <x:c r="E45" s="54" t="n">
        <x:v>45761</x:v>
      </x:c>
      <x:c r="F45" s="54" t="n">
        <x:v>45779</x:v>
      </x:c>
      <x:c r="G45" s="54"/>
      <x:c r="H45" s="54"/>
      <x:c r="I45" s="54"/>
      <x:c r="J45" s="54"/>
      <x:c r="K45" t="n">
        <x:v>15</x:v>
      </x:c>
      <x:c r="L45" t="str">
        <x:v>P02-A4</x:v>
      </x:c>
      <x:c r="M45"/>
      <x:c r="N45" s="21" t="b">
        <x:v>0</x:v>
      </x:c>
      <x:c r="O45" s="21" t="b">
        <x:v>1</x:v>
      </x:c>
      <x:c r="P45" t="str">
        <x:v>P02-CA03</x:v>
      </x:c>
      <x:c r="Q45" t="str">
        <x:v>P02-WP031</x:v>
      </x:c>
      <x:c r="R45" t="str">
        <x:v>Task</x:v>
      </x:c>
      <x:c r="S45" t="str">
        <x:v>Approved realism audit</x:v>
      </x:c>
      <x:c r="T45" t="str">
        <x:v>Source-derived / reconstructed network | Scenario dates calculated from reconstructed logic, not source recovered</x:v>
      </x:c>
      <x:c r="U45" s="54" t="n">
        <x:v>45761</x:v>
      </x:c>
      <x:c r="V45" s="54" t="n">
        <x:v>45779</x:v>
      </x:c>
      <x:c r="W45" s="54" t="n">
        <x:v>45761</x:v>
      </x:c>
      <x:c r="X45" s="54" t="n">
        <x:v>45779</x:v>
      </x:c>
      <x:c r="Y45" s="78" t="n">
        <x:v>0</x:v>
      </x:c>
    </x:row>
    <x:row r="46" ht="21" customHeight="1">
      <x:c r="A46" t="str">
        <x:v>P02-A4b</x:v>
      </x:c>
      <x:c r="B46" t="str">
        <x:v>P02</x:v>
      </x:c>
      <x:c r="C46" t="str">
        <x:v>Regulatory Plan Review &amp; Approval</x:v>
      </x:c>
      <x:c r="D46" t="str">
        <x:v>1.02.2.2</x:v>
      </x:c>
      <x:c r="E46" s="54" t="n">
        <x:v>45775</x:v>
      </x:c>
      <x:c r="F46" s="54" t="n">
        <x:v>45800</x:v>
      </x:c>
      <x:c r="G46" s="54"/>
      <x:c r="H46" s="54"/>
      <x:c r="I46" s="54"/>
      <x:c r="J46" s="54"/>
      <x:c r="K46" t="n">
        <x:v>20</x:v>
      </x:c>
      <x:c r="L46" t="str">
        <x:v>P02-A4</x:v>
      </x:c>
      <x:c r="M46"/>
      <x:c r="N46" s="21" t="b">
        <x:v>0</x:v>
      </x:c>
      <x:c r="O46" s="21" t="b">
        <x:v>0</x:v>
      </x:c>
      <x:c r="P46" t="str">
        <x:v>P02-CA02</x:v>
      </x:c>
      <x:c r="Q46" t="str">
        <x:v>P02-WP022</x:v>
      </x:c>
      <x:c r="R46" t="str">
        <x:v>Task</x:v>
      </x:c>
      <x:c r="S46" t="str">
        <x:v>PROVISIONAL SYNTHETIC (user approved for planning only); exact original audit duration unavailable; retained 20 business days</x:v>
      </x:c>
      <x:c r="T46" t="str">
        <x:v>USER-APPROVED PROVISIONAL SYNTHETIC DURATION; NOT SOURCE RECOVERED | APPROVED PROVISIONAL SYNTHETIC DURATION; NOT SOURCE-RECOVERED; DATE/NETWORK NOT BASELINE-APPROVED | Scenario dates calculated from reconstructed logic, not source recovered</x:v>
      </x:c>
      <x:c r="U46" s="54" t="n">
        <x:v>45775</x:v>
      </x:c>
      <x:c r="V46" s="54" t="n">
        <x:v>45800</x:v>
      </x:c>
      <x:c r="W46" s="54" t="n">
        <x:v>45782</x:v>
      </x:c>
      <x:c r="X46" s="54" t="n">
        <x:v>45807</x:v>
      </x:c>
      <x:c r="Y46" s="78" t="n">
        <x:v>5</x:v>
      </x:c>
    </x:row>
    <x:row r="47" ht="21" customHeight="1">
      <x:c r="A47" t="str">
        <x:v>P02-M1</x:v>
      </x:c>
      <x:c r="B47" t="str">
        <x:v>P02</x:v>
      </x:c>
      <x:c r="C47" t="str">
        <x:v>Design Complete</x:v>
      </x:c>
      <x:c r="D47" t="str">
        <x:v>1.02.2.2</x:v>
      </x:c>
      <x:c r="E47" s="54" t="n">
        <x:v>45772</x:v>
      </x:c>
      <x:c r="F47" s="54" t="n">
        <x:v>45772</x:v>
      </x:c>
      <x:c r="G47" s="54"/>
      <x:c r="H47" s="54"/>
      <x:c r="I47" s="54"/>
      <x:c r="J47" s="54"/>
      <x:c r="K47" t="n">
        <x:v>0</x:v>
      </x:c>
      <x:c r="L47" t="str">
        <x:v>P02-A4</x:v>
      </x:c>
      <x:c r="M47"/>
      <x:c r="N47" s="21" t="b">
        <x:v>1</x:v>
      </x:c>
      <x:c r="O47" s="21" t="b">
        <x:v>0</x:v>
      </x:c>
      <x:c r="P47" t="str">
        <x:v>P02-CA02</x:v>
      </x:c>
      <x:c r="Q47" t="str">
        <x:v>P02-WP022</x:v>
      </x:c>
      <x:c r="R47" t="str">
        <x:v>Milestone</x:v>
      </x:c>
      <x:c r="S47" t="str">
        <x:v>Approved P02 milestone</x:v>
      </x:c>
      <x:c r="T47" t="str">
        <x:v>UNRESOLVED: milestone depends on reconstructed P01/P02 network; exact approved date not recoverable from available source | Scenario dates calculated from reconstructed logic, not source recovered</x:v>
      </x:c>
      <x:c r="U47" s="54" t="n">
        <x:v>45772</x:v>
      </x:c>
      <x:c r="V47" s="54" t="n">
        <x:v>45772</x:v>
      </x:c>
      <x:c r="W47" s="54" t="n">
        <x:v>46078</x:v>
      </x:c>
      <x:c r="X47" s="54" t="n">
        <x:v>46078</x:v>
      </x:c>
      <x:c r="Y47" s="78" t="n">
        <x:v>218</x:v>
      </x:c>
    </x:row>
    <x:row r="48" ht="21" customHeight="1">
      <x:c r="A48" t="str">
        <x:v>P02-A5b</x:v>
      </x:c>
      <x:c r="B48" t="str">
        <x:v>P02</x:v>
      </x:c>
      <x:c r="C48" t="str">
        <x:v>Bid Evaluation, Selection &amp; Award Recommendation</x:v>
      </x:c>
      <x:c r="D48" t="str">
        <x:v>1.02.3.1</x:v>
      </x:c>
      <x:c r="E48" s="54" t="n">
        <x:v>45782</x:v>
      </x:c>
      <x:c r="F48" s="54" t="n">
        <x:v>45793</x:v>
      </x:c>
      <x:c r="G48" s="54"/>
      <x:c r="H48" s="54"/>
      <x:c r="I48" s="54"/>
      <x:c r="J48" s="54"/>
      <x:c r="K48" t="n">
        <x:v>10</x:v>
      </x:c>
      <x:c r="L48" t="str">
        <x:v>P02-A5</x:v>
      </x:c>
      <x:c r="M48"/>
      <x:c r="N48" s="21" t="b">
        <x:v>0</x:v>
      </x:c>
      <x:c r="O48" s="21" t="b">
        <x:v>1</x:v>
      </x:c>
      <x:c r="P48" t="str">
        <x:v>P02-CA03</x:v>
      </x:c>
      <x:c r="Q48" t="str">
        <x:v>P02-WP031</x:v>
      </x:c>
      <x:c r="R48" t="str">
        <x:v>Task</x:v>
      </x:c>
      <x:c r="S48" t="str">
        <x:v>Approved realism audit</x:v>
      </x:c>
      <x:c r="T48" t="str">
        <x:v>Source-derived / reconstructed network | Scenario dates calculated from reconstructed logic, not source recovered</x:v>
      </x:c>
      <x:c r="U48" s="54" t="n">
        <x:v>45782</x:v>
      </x:c>
      <x:c r="V48" s="54" t="n">
        <x:v>45793</x:v>
      </x:c>
      <x:c r="W48" s="54" t="n">
        <x:v>45782</x:v>
      </x:c>
      <x:c r="X48" s="54" t="n">
        <x:v>45793</x:v>
      </x:c>
      <x:c r="Y48" s="78" t="n">
        <x:v>0</x:v>
      </x:c>
    </x:row>
    <x:row r="49" ht="21" customHeight="1">
      <x:c r="A49" t="str">
        <x:v>P02-M2</x:v>
      </x:c>
      <x:c r="B49" t="str">
        <x:v>P02</x:v>
      </x:c>
      <x:c r="C49" t="str">
        <x:v>Contract Award / NTP</x:v>
      </x:c>
      <x:c r="D49" t="str">
        <x:v>1.02.3.2</x:v>
      </x:c>
      <x:c r="E49" s="54" t="n">
        <x:v>45807</x:v>
      </x:c>
      <x:c r="F49" s="54" t="n">
        <x:v>45807</x:v>
      </x:c>
      <x:c r="G49" s="54"/>
      <x:c r="H49" s="54"/>
      <x:c r="I49" s="54"/>
      <x:c r="J49" s="54"/>
      <x:c r="K49" t="n">
        <x:v>0</x:v>
      </x:c>
      <x:c r="L49" t="str">
        <x:v>P02-A5b, P02-A4b</x:v>
      </x:c>
      <x:c r="M49"/>
      <x:c r="N49" s="21" t="b">
        <x:v>1</x:v>
      </x:c>
      <x:c r="O49" s="21" t="b">
        <x:v>1</x:v>
      </x:c>
      <x:c r="P49" t="str">
        <x:v>P02-CA03</x:v>
      </x:c>
      <x:c r="Q49" t="str">
        <x:v>P02-WP032</x:v>
      </x:c>
      <x:c r="R49" t="str">
        <x:v>Milestone</x:v>
      </x:c>
      <x:c r="S49" t="str">
        <x:v>Approved P02 milestone</x:v>
      </x:c>
      <x:c r="T49" t="str">
        <x:v>UNRESOLVED: milestone depends on reconstructed P01/P02 network; exact approved date not recoverable from available source | Scenario dates calculated from reconstructed logic, not source recovered</x:v>
      </x:c>
      <x:c r="U49" s="54" t="n">
        <x:v>45807</x:v>
      </x:c>
      <x:c r="V49" s="54" t="n">
        <x:v>45807</x:v>
      </x:c>
      <x:c r="W49" s="54" t="n">
        <x:v>45807</x:v>
      </x:c>
      <x:c r="X49" s="54" t="n">
        <x:v>45807</x:v>
      </x:c>
      <x:c r="Y49" s="78" t="n">
        <x:v>0</x:v>
      </x:c>
    </x:row>
    <x:row r="50" ht="21" customHeight="1">
      <x:c r="A50" t="str">
        <x:v>P02-A11c</x:v>
      </x:c>
      <x:c r="B50" t="str">
        <x:v>P02</x:v>
      </x:c>
      <x:c r="C50" t="str">
        <x:v>FAT — Switchgear/VFDs</x:v>
      </x:c>
      <x:c r="D50" t="str">
        <x:v>1.02.4.2</x:v>
      </x:c>
      <x:c r="E50" s="54" t="n">
        <x:v>45950</x:v>
      </x:c>
      <x:c r="F50" s="54" t="n">
        <x:v>45961</x:v>
      </x:c>
      <x:c r="G50" s="54"/>
      <x:c r="H50" s="54"/>
      <x:c r="I50" s="54"/>
      <x:c r="J50" s="54"/>
      <x:c r="K50" t="n">
        <x:v>10</x:v>
      </x:c>
      <x:c r="L50" t="str">
        <x:v>P02-A11b</x:v>
      </x:c>
      <x:c r="M50"/>
      <x:c r="N50" s="21" t="b">
        <x:v>0</x:v>
      </x:c>
      <x:c r="O50" s="21" t="b">
        <x:v>0</x:v>
      </x:c>
      <x:c r="P50" t="str">
        <x:v>P02-CA04</x:v>
      </x:c>
      <x:c r="Q50" t="str">
        <x:v>P02-WP042</x:v>
      </x:c>
      <x:c r="R50" t="str">
        <x:v>Task</x:v>
      </x:c>
      <x:c r="S50" t="str">
        <x:v>Approved realism audit</x:v>
      </x:c>
      <x:c r="T50" t="str">
        <x:v>Source-derived / reconstructed network | Scenario dates calculated from reconstructed logic, not source recovered</x:v>
      </x:c>
      <x:c r="U50" s="54" t="n">
        <x:v>45950</x:v>
      </x:c>
      <x:c r="V50" s="54" t="n">
        <x:v>45961</x:v>
      </x:c>
      <x:c r="W50" s="54" t="n">
        <x:v>45971</x:v>
      </x:c>
      <x:c r="X50" s="54" t="n">
        <x:v>45982</x:v>
      </x:c>
      <x:c r="Y50" s="78" t="n">
        <x:v>15</x:v>
      </x:c>
    </x:row>
    <x:row r="51" ht="21" customHeight="1">
      <x:c r="A51" t="str">
        <x:v>P02-A11d</x:v>
      </x:c>
      <x:c r="B51" t="str">
        <x:v>P02</x:v>
      </x:c>
      <x:c r="C51" t="str">
        <x:v>Delivery &amp; Receiving — Switchgear/VFDs</x:v>
      </x:c>
      <x:c r="D51" t="str">
        <x:v>1.02.4.2</x:v>
      </x:c>
      <x:c r="E51" s="54" t="n">
        <x:v>45964</x:v>
      </x:c>
      <x:c r="F51" s="54" t="n">
        <x:v>45973</x:v>
      </x:c>
      <x:c r="G51" s="54"/>
      <x:c r="H51" s="54"/>
      <x:c r="I51" s="54"/>
      <x:c r="J51" s="54"/>
      <x:c r="K51" t="n">
        <x:v>8</x:v>
      </x:c>
      <x:c r="L51" t="str">
        <x:v>P02-A11c</x:v>
      </x:c>
      <x:c r="M51"/>
      <x:c r="N51" s="21" t="b">
        <x:v>0</x:v>
      </x:c>
      <x:c r="O51" s="21" t="b">
        <x:v>0</x:v>
      </x:c>
      <x:c r="P51" t="str">
        <x:v>P02-CA04</x:v>
      </x:c>
      <x:c r="Q51" t="str">
        <x:v>P02-WP042</x:v>
      </x:c>
      <x:c r="R51" t="str">
        <x:v>Task</x:v>
      </x:c>
      <x:c r="S51" t="str">
        <x:v>Approved realism audit</x:v>
      </x:c>
      <x:c r="T51" t="str">
        <x:v>Source-derived / reconstructed network | Scenario dates calculated from reconstructed logic, not source recovered</x:v>
      </x:c>
      <x:c r="U51" s="54" t="n">
        <x:v>45964</x:v>
      </x:c>
      <x:c r="V51" s="54" t="n">
        <x:v>45973</x:v>
      </x:c>
      <x:c r="W51" s="54" t="n">
        <x:v>45985</x:v>
      </x:c>
      <x:c r="X51" s="54" t="n">
        <x:v>45994</x:v>
      </x:c>
      <x:c r="Y51" s="78" t="n">
        <x:v>15</x:v>
      </x:c>
    </x:row>
    <x:row r="52" ht="21" customHeight="1">
      <x:c r="A52" t="str">
        <x:v>P02-A7c</x:v>
      </x:c>
      <x:c r="B52" t="str">
        <x:v>P02</x:v>
      </x:c>
      <x:c r="C52" t="str">
        <x:v>FAT — Pumps &amp; Motors</x:v>
      </x:c>
      <x:c r="D52" t="str">
        <x:v>1.02.4.1</x:v>
      </x:c>
      <x:c r="E52" s="54" t="n">
        <x:v>45964</x:v>
      </x:c>
      <x:c r="F52" s="54" t="n">
        <x:v>45975</x:v>
      </x:c>
      <x:c r="G52" s="54"/>
      <x:c r="H52" s="54"/>
      <x:c r="I52" s="54"/>
      <x:c r="J52" s="54"/>
      <x:c r="K52" t="n">
        <x:v>10</x:v>
      </x:c>
      <x:c r="L52" t="str">
        <x:v>P02-A7b</x:v>
      </x:c>
      <x:c r="M52"/>
      <x:c r="N52" s="21" t="b">
        <x:v>0</x:v>
      </x:c>
      <x:c r="O52" s="21" t="b">
        <x:v>1</x:v>
      </x:c>
      <x:c r="P52" t="str">
        <x:v>P02-CA04</x:v>
      </x:c>
      <x:c r="Q52" t="str">
        <x:v>P02-WP041</x:v>
      </x:c>
      <x:c r="R52" t="str">
        <x:v>Task</x:v>
      </x:c>
      <x:c r="S52" t="str">
        <x:v>Approved realism audit</x:v>
      </x:c>
      <x:c r="T52" t="str">
        <x:v>Source-derived / reconstructed network | Scenario dates calculated from reconstructed logic, not source recovered</x:v>
      </x:c>
      <x:c r="U52" s="54" t="n">
        <x:v>45964</x:v>
      </x:c>
      <x:c r="V52" s="54" t="n">
        <x:v>45975</x:v>
      </x:c>
      <x:c r="W52" s="54" t="n">
        <x:v>45964</x:v>
      </x:c>
      <x:c r="X52" s="54" t="n">
        <x:v>45975</x:v>
      </x:c>
      <x:c r="Y52" s="78" t="n">
        <x:v>0</x:v>
      </x:c>
    </x:row>
    <x:row r="53" ht="21" customHeight="1">
      <x:c r="A53" t="str">
        <x:v>P02-A12</x:v>
      </x:c>
      <x:c r="B53" t="str">
        <x:v>P02</x:v>
      </x:c>
      <x:c r="C53" t="str">
        <x:v>Install Switchgear / VFDs</x:v>
      </x:c>
      <x:c r="D53" t="str">
        <x:v>1.02.4.2</x:v>
      </x:c>
      <x:c r="E53" s="54" t="n">
        <x:v>45974</x:v>
      </x:c>
      <x:c r="F53" s="54" t="n">
        <x:v>46001</x:v>
      </x:c>
      <x:c r="G53" s="54"/>
      <x:c r="H53" s="54"/>
      <x:c r="I53" s="54"/>
      <x:c r="J53" s="54"/>
      <x:c r="K53" t="n">
        <x:v>20</x:v>
      </x:c>
      <x:c r="L53" t="str">
        <x:v>P02-A9, P02-A11d, P02-A6c</x:v>
      </x:c>
      <x:c r="M53"/>
      <x:c r="N53" s="21" t="b">
        <x:v>0</x:v>
      </x:c>
      <x:c r="O53" s="21" t="b">
        <x:v>0</x:v>
      </x:c>
      <x:c r="P53" t="str">
        <x:v>P02-CA04</x:v>
      </x:c>
      <x:c r="Q53" t="str">
        <x:v>P02-WP042</x:v>
      </x:c>
      <x:c r="R53" t="str">
        <x:v>Task</x:v>
      </x:c>
      <x:c r="S53" t="str">
        <x:v>Approved P02 schedule</x:v>
      </x:c>
      <x:c r="T53" t="str">
        <x:v>Source-derived / reconstructed network | Scenario dates calculated from reconstructed logic, not source recovered</x:v>
      </x:c>
      <x:c r="U53" s="54" t="n">
        <x:v>45974</x:v>
      </x:c>
      <x:c r="V53" s="54" t="n">
        <x:v>46001</x:v>
      </x:c>
      <x:c r="W53" s="54" t="n">
        <x:v>45995</x:v>
      </x:c>
      <x:c r="X53" s="54" t="n">
        <x:v>46022</x:v>
      </x:c>
      <x:c r="Y53" s="78" t="n">
        <x:v>15</x:v>
      </x:c>
    </x:row>
    <x:row r="54" ht="21" customHeight="1">
      <x:c r="A54" t="str">
        <x:v>P02-A7d</x:v>
      </x:c>
      <x:c r="B54" t="str">
        <x:v>P02</x:v>
      </x:c>
      <x:c r="C54" t="str">
        <x:v>Delivery &amp; Receiving — Pumps &amp; Motors</x:v>
      </x:c>
      <x:c r="D54" t="str">
        <x:v>1.02.4.1</x:v>
      </x:c>
      <x:c r="E54" s="54" t="n">
        <x:v>45978</x:v>
      </x:c>
      <x:c r="F54" s="54" t="n">
        <x:v>45987</x:v>
      </x:c>
      <x:c r="G54" s="54"/>
      <x:c r="H54" s="54"/>
      <x:c r="I54" s="54"/>
      <x:c r="J54" s="54"/>
      <x:c r="K54" t="n">
        <x:v>8</x:v>
      </x:c>
      <x:c r="L54" t="str">
        <x:v>P02-A7c</x:v>
      </x:c>
      <x:c r="M54"/>
      <x:c r="N54" s="21" t="b">
        <x:v>0</x:v>
      </x:c>
      <x:c r="O54" s="21" t="b">
        <x:v>1</x:v>
      </x:c>
      <x:c r="P54" t="str">
        <x:v>P02-CA04</x:v>
      </x:c>
      <x:c r="Q54" t="str">
        <x:v>P02-WP041</x:v>
      </x:c>
      <x:c r="R54" t="str">
        <x:v>Task</x:v>
      </x:c>
      <x:c r="S54" t="str">
        <x:v>Approved realism audit</x:v>
      </x:c>
      <x:c r="T54" t="str">
        <x:v>Source-derived / reconstructed network | Scenario dates calculated from reconstructed logic, not source recovered</x:v>
      </x:c>
      <x:c r="U54" s="54" t="n">
        <x:v>45978</x:v>
      </x:c>
      <x:c r="V54" s="54" t="n">
        <x:v>45987</x:v>
      </x:c>
      <x:c r="W54" s="54" t="n">
        <x:v>45978</x:v>
      </x:c>
      <x:c r="X54" s="54" t="n">
        <x:v>45987</x:v>
      </x:c>
      <x:c r="Y54" s="78" t="n">
        <x:v>0</x:v>
      </x:c>
    </x:row>
    <x:row r="55" ht="21" customHeight="1">
      <x:c r="A55" t="str">
        <x:v>P02-A10</x:v>
      </x:c>
      <x:c r="B55" t="str">
        <x:v>P02</x:v>
      </x:c>
      <x:c r="C55" t="str">
        <x:v>Install New Pumps &amp; Motors</x:v>
      </x:c>
      <x:c r="D55" t="str">
        <x:v>1.02.4.1</x:v>
      </x:c>
      <x:c r="E55" s="54" t="n">
        <x:v>45988</x:v>
      </x:c>
      <x:c r="F55" s="54" t="n">
        <x:v>46022</x:v>
      </x:c>
      <x:c r="G55" s="54"/>
      <x:c r="H55" s="54"/>
      <x:c r="I55" s="54"/>
      <x:c r="J55" s="54"/>
      <x:c r="K55" t="n">
        <x:v>25</x:v>
      </x:c>
      <x:c r="L55" t="str">
        <x:v>P02-A9, P02-A7d</x:v>
      </x:c>
      <x:c r="M55"/>
      <x:c r="N55" s="21" t="b">
        <x:v>0</x:v>
      </x:c>
      <x:c r="O55" s="21" t="b">
        <x:v>1</x:v>
      </x:c>
      <x:c r="P55" t="str">
        <x:v>P02-CA04</x:v>
      </x:c>
      <x:c r="Q55" t="str">
        <x:v>P02-WP041</x:v>
      </x:c>
      <x:c r="R55" t="str">
        <x:v>Task</x:v>
      </x:c>
      <x:c r="S55" t="str">
        <x:v>Approved P02 schedule</x:v>
      </x:c>
      <x:c r="T55" t="str">
        <x:v>Source-derived / reconstructed network | Scenario dates calculated from reconstructed logic, not source recovered</x:v>
      </x:c>
      <x:c r="U55" s="54" t="n">
        <x:v>45988</x:v>
      </x:c>
      <x:c r="V55" s="54" t="n">
        <x:v>46022</x:v>
      </x:c>
      <x:c r="W55" s="54" t="n">
        <x:v>45988</x:v>
      </x:c>
      <x:c r="X55" s="54" t="n">
        <x:v>46022</x:v>
      </x:c>
      <x:c r="Y55" s="78" t="n">
        <x:v>0</x:v>
      </x:c>
    </x:row>
    <x:row r="56" ht="21" customHeight="1">
      <x:c r="A56" t="str">
        <x:v>P02-A14</x:v>
      </x:c>
      <x:c r="B56" t="str">
        <x:v>P02</x:v>
      </x:c>
      <x:c r="C56" t="str">
        <x:v>Startup &amp; Functional Testing</x:v>
      </x:c>
      <x:c r="D56" t="str">
        <x:v>1.02.5.1</x:v>
      </x:c>
      <x:c r="E56" s="54" t="n">
        <x:v>46023</x:v>
      </x:c>
      <x:c r="F56" s="54" t="n">
        <x:v>46036</x:v>
      </x:c>
      <x:c r="G56" s="54"/>
      <x:c r="H56" s="54"/>
      <x:c r="I56" s="54"/>
      <x:c r="J56" s="54"/>
      <x:c r="K56" t="n">
        <x:v>10</x:v>
      </x:c>
      <x:c r="L56" t="str">
        <x:v>P02-A10, P02-A12, P02-A13</x:v>
      </x:c>
      <x:c r="M56"/>
      <x:c r="N56" s="21" t="b">
        <x:v>0</x:v>
      </x:c>
      <x:c r="O56" s="21" t="b">
        <x:v>1</x:v>
      </x:c>
      <x:c r="P56" t="str">
        <x:v>P02-CA05</x:v>
      </x:c>
      <x:c r="Q56" t="str">
        <x:v>P02-WP051</x:v>
      </x:c>
      <x:c r="R56" t="str">
        <x:v>Task</x:v>
      </x:c>
      <x:c r="S56" t="str">
        <x:v>Approved P02 schedule</x:v>
      </x:c>
      <x:c r="T56" t="str">
        <x:v>Source-derived / reconstructed network | Scenario dates calculated from reconstructed logic, not source recovered</x:v>
      </x:c>
      <x:c r="U56" s="54" t="n">
        <x:v>46023</x:v>
      </x:c>
      <x:c r="V56" s="54" t="n">
        <x:v>46036</x:v>
      </x:c>
      <x:c r="W56" s="54" t="n">
        <x:v>46023</x:v>
      </x:c>
      <x:c r="X56" s="54" t="n">
        <x:v>46036</x:v>
      </x:c>
      <x:c r="Y56" s="78" t="n">
        <x:v>0</x:v>
      </x:c>
    </x:row>
    <x:row r="57" ht="21" customHeight="1">
      <x:c r="A57" t="str">
        <x:v>P02-A15</x:v>
      </x:c>
      <x:c r="B57" t="str">
        <x:v>P02</x:v>
      </x:c>
      <x:c r="C57" t="str">
        <x:v>Bypass Deactivation / Cutover</x:v>
      </x:c>
      <x:c r="D57" t="str">
        <x:v>1.02.5.1</x:v>
      </x:c>
      <x:c r="E57" s="54" t="n">
        <x:v>46037</x:v>
      </x:c>
      <x:c r="F57" s="54" t="n">
        <x:v>46043</x:v>
      </x:c>
      <x:c r="G57" s="54"/>
      <x:c r="H57" s="54"/>
      <x:c r="I57" s="54"/>
      <x:c r="J57" s="54"/>
      <x:c r="K57" t="n">
        <x:v>5</x:v>
      </x:c>
      <x:c r="L57" t="str">
        <x:v>P02-A14</x:v>
      </x:c>
      <x:c r="M57"/>
      <x:c r="N57" s="21" t="b">
        <x:v>0</x:v>
      </x:c>
      <x:c r="O57" s="21" t="b">
        <x:v>1</x:v>
      </x:c>
      <x:c r="P57" t="str">
        <x:v>P02-CA05</x:v>
      </x:c>
      <x:c r="Q57" t="str">
        <x:v>P02-WP051</x:v>
      </x:c>
      <x:c r="R57" t="str">
        <x:v>Task</x:v>
      </x:c>
      <x:c r="S57" t="str">
        <x:v>Approved P02 schedule</x:v>
      </x:c>
      <x:c r="T57" t="str">
        <x:v>Source-derived / reconstructed network | Scenario dates calculated from reconstructed logic, not source recovered</x:v>
      </x:c>
      <x:c r="U57" s="54" t="n">
        <x:v>46037</x:v>
      </x:c>
      <x:c r="V57" s="54" t="n">
        <x:v>46043</x:v>
      </x:c>
      <x:c r="W57" s="54" t="n">
        <x:v>46037</x:v>
      </x:c>
      <x:c r="X57" s="54" t="n">
        <x:v>46043</x:v>
      </x:c>
      <x:c r="Y57" s="78" t="n">
        <x:v>0</x:v>
      </x:c>
    </x:row>
    <x:row r="58" ht="21" customHeight="1">
      <x:c r="A58" t="str">
        <x:v>P02-A15b</x:v>
      </x:c>
      <x:c r="B58" t="str">
        <x:v>P02</x:v>
      </x:c>
      <x:c r="C58" t="str">
        <x:v>Final Inspection &amp; Punch List</x:v>
      </x:c>
      <x:c r="D58" t="str">
        <x:v>1.02.4.1</x:v>
      </x:c>
      <x:c r="E58" s="54" t="n">
        <x:v>46044</x:v>
      </x:c>
      <x:c r="F58" s="54" t="n">
        <x:v>46057</x:v>
      </x:c>
      <x:c r="G58" s="54"/>
      <x:c r="H58" s="54"/>
      <x:c r="I58" s="54"/>
      <x:c r="J58" s="54"/>
      <x:c r="K58" t="n">
        <x:v>10</x:v>
      </x:c>
      <x:c r="L58" t="str">
        <x:v>P02-A15</x:v>
      </x:c>
      <x:c r="M58"/>
      <x:c r="N58" s="21" t="b">
        <x:v>0</x:v>
      </x:c>
      <x:c r="O58" s="21" t="b">
        <x:v>0</x:v>
      </x:c>
      <x:c r="P58" t="str">
        <x:v>P02-CA04</x:v>
      </x:c>
      <x:c r="Q58" t="str">
        <x:v>P02-WP041</x:v>
      </x:c>
      <x:c r="R58" t="str">
        <x:v>Task</x:v>
      </x:c>
      <x:c r="S58" t="str">
        <x:v>Approved realism audit</x:v>
      </x:c>
      <x:c r="T58" t="str">
        <x:v>Source-derived / reconstructed network | Scenario dates calculated from reconstructed logic, not source recovered</x:v>
      </x:c>
      <x:c r="U58" s="54" t="n">
        <x:v>46044</x:v>
      </x:c>
      <x:c r="V58" s="54" t="n">
        <x:v>46057</x:v>
      </x:c>
      <x:c r="W58" s="54" t="n">
        <x:v>46065</x:v>
      </x:c>
      <x:c r="X58" s="54" t="n">
        <x:v>46078</x:v>
      </x:c>
      <x:c r="Y58" s="78" t="n">
        <x:v>15</x:v>
      </x:c>
    </x:row>
    <x:row r="59" ht="21" customHeight="1">
      <x:c r="A59" t="str">
        <x:v>P02-A16</x:v>
      </x:c>
      <x:c r="B59" t="str">
        <x:v>P02</x:v>
      </x:c>
      <x:c r="C59" t="str">
        <x:v>Documentation &amp; Turnover</x:v>
      </x:c>
      <x:c r="D59" t="str">
        <x:v>1.02.6.1</x:v>
      </x:c>
      <x:c r="E59" s="54" t="n">
        <x:v>46044</x:v>
      </x:c>
      <x:c r="F59" s="54" t="n">
        <x:v>46057</x:v>
      </x:c>
      <x:c r="G59" s="54"/>
      <x:c r="H59" s="54"/>
      <x:c r="I59" s="54"/>
      <x:c r="J59" s="54"/>
      <x:c r="K59" t="n">
        <x:v>10</x:v>
      </x:c>
      <x:c r="L59" t="str">
        <x:v>P02-A15</x:v>
      </x:c>
      <x:c r="M59"/>
      <x:c r="N59" s="21" t="b">
        <x:v>0</x:v>
      </x:c>
      <x:c r="O59" s="21" t="b">
        <x:v>1</x:v>
      </x:c>
      <x:c r="P59" t="str">
        <x:v>P02-CA06</x:v>
      </x:c>
      <x:c r="Q59" t="str">
        <x:v>P02-WP061</x:v>
      </x:c>
      <x:c r="R59" t="str">
        <x:v>Task</x:v>
      </x:c>
      <x:c r="S59" t="str">
        <x:v>Approved P02 schedule</x:v>
      </x:c>
      <x:c r="T59" t="str">
        <x:v>Source-derived / reconstructed network | Scenario dates calculated from reconstructed logic, not source recovered</x:v>
      </x:c>
      <x:c r="U59" s="54" t="n">
        <x:v>46044</x:v>
      </x:c>
      <x:c r="V59" s="54" t="n">
        <x:v>46057</x:v>
      </x:c>
      <x:c r="W59" s="54" t="n">
        <x:v>46044</x:v>
      </x:c>
      <x:c r="X59" s="54" t="n">
        <x:v>46057</x:v>
      </x:c>
      <x:c r="Y59" s="78" t="n">
        <x:v>0</x:v>
      </x:c>
    </x:row>
    <x:row r="60" ht="21" customHeight="1">
      <x:c r="A60" t="str">
        <x:v>P02-A17</x:v>
      </x:c>
      <x:c r="B60" t="str">
        <x:v>P02</x:v>
      </x:c>
      <x:c r="C60" t="str">
        <x:v>Financial Closeout</x:v>
      </x:c>
      <x:c r="D60" t="str">
        <x:v>1.02.6.2</x:v>
      </x:c>
      <x:c r="E60" s="54" t="n">
        <x:v>46058</x:v>
      </x:c>
      <x:c r="F60" s="54" t="n">
        <x:v>46078</x:v>
      </x:c>
      <x:c r="G60" s="54"/>
      <x:c r="H60" s="54"/>
      <x:c r="I60" s="54"/>
      <x:c r="J60" s="54"/>
      <x:c r="K60" t="n">
        <x:v>15</x:v>
      </x:c>
      <x:c r="L60" t="str">
        <x:v>P02-A16, P02-A15b</x:v>
      </x:c>
      <x:c r="M60"/>
      <x:c r="N60" s="21" t="b">
        <x:v>0</x:v>
      </x:c>
      <x:c r="O60" s="21" t="b">
        <x:v>1</x:v>
      </x:c>
      <x:c r="P60" t="str">
        <x:v>P02-CA06</x:v>
      </x:c>
      <x:c r="Q60" t="str">
        <x:v>P02-WP062</x:v>
      </x:c>
      <x:c r="R60" t="str">
        <x:v>Task</x:v>
      </x:c>
      <x:c r="S60" t="str">
        <x:v>Approved P02 schedule</x:v>
      </x:c>
      <x:c r="T60" t="str">
        <x:v>Source-derived / reconstructed network | Scenario dates calculated from reconstructed logic, not source recovered</x:v>
      </x:c>
      <x:c r="U60" s="54" t="n">
        <x:v>46058</x:v>
      </x:c>
      <x:c r="V60" s="54" t="n">
        <x:v>46078</x:v>
      </x:c>
      <x:c r="W60" s="54" t="n">
        <x:v>46058</x:v>
      </x:c>
      <x:c r="X60" s="54" t="n">
        <x:v>46078</x:v>
      </x:c>
      <x:c r="Y60" s="78" t="n">
        <x:v>0</x:v>
      </x:c>
    </x:row>
    <x:row r="61" ht="21" customHeight="1">
      <x:c r="A61" t="str">
        <x:v>P02-M4</x:v>
      </x:c>
      <x:c r="B61" t="str">
        <x:v>P02</x:v>
      </x:c>
      <x:c r="C61" t="str">
        <x:v>Substantial Completion</x:v>
      </x:c>
      <x:c r="D61" t="str">
        <x:v>1.02.5.1</x:v>
      </x:c>
      <x:c r="E61" s="54" t="n">
        <x:v>46057</x:v>
      </x:c>
      <x:c r="F61" s="54" t="n">
        <x:v>46057</x:v>
      </x:c>
      <x:c r="G61" s="54"/>
      <x:c r="H61" s="54"/>
      <x:c r="I61" s="54"/>
      <x:c r="J61" s="54"/>
      <x:c r="K61" t="n">
        <x:v>0</x:v>
      </x:c>
      <x:c r="L61" t="str">
        <x:v>P02-A15b</x:v>
      </x:c>
      <x:c r="M61"/>
      <x:c r="N61" s="21" t="b">
        <x:v>1</x:v>
      </x:c>
      <x:c r="O61" s="21" t="b">
        <x:v>0</x:v>
      </x:c>
      <x:c r="P61" t="str">
        <x:v>P02-CA05</x:v>
      </x:c>
      <x:c r="Q61" t="str">
        <x:v>P02-WP051</x:v>
      </x:c>
      <x:c r="R61" t="str">
        <x:v>Milestone</x:v>
      </x:c>
      <x:c r="S61" t="str">
        <x:v>Approved P02 milestone; renamed in recovered export to avoid collision with existing final milestone ID</x:v>
      </x:c>
      <x:c r="T61" t="str">
        <x:v>ID normalized to documented original P02 M4 Substantial Completion; provisional milestone date remains unverified | Scenario dates calculated from reconstructed logic, not source recovered</x:v>
      </x:c>
      <x:c r="U61" s="54" t="n">
        <x:v>46057</x:v>
      </x:c>
      <x:c r="V61" s="54" t="n">
        <x:v>46057</x:v>
      </x:c>
      <x:c r="W61" s="54" t="n">
        <x:v>46078</x:v>
      </x:c>
      <x:c r="X61" s="54" t="n">
        <x:v>46078</x:v>
      </x:c>
      <x:c r="Y61" s="78" t="n">
        <x:v>15</x:v>
      </x:c>
    </x:row>
    <x:row r="62" ht="21" customHeight="1">
      <x:c r="A62" t="str">
        <x:v>P02-M5</x:v>
      </x:c>
      <x:c r="B62" t="str">
        <x:v>P02</x:v>
      </x:c>
      <x:c r="C62" t="str">
        <x:v>Final Completion</x:v>
      </x:c>
      <x:c r="D62" t="str">
        <x:v>1.02.4.1</x:v>
      </x:c>
      <x:c r="E62" s="54" t="n">
        <x:v>46078</x:v>
      </x:c>
      <x:c r="F62" s="54" t="n">
        <x:v>46078</x:v>
      </x:c>
      <x:c r="G62" s="54"/>
      <x:c r="H62" s="54"/>
      <x:c r="I62" s="54"/>
      <x:c r="J62" s="54"/>
      <x:c r="K62" t="n">
        <x:v>0</x:v>
      </x:c>
      <x:c r="L62" t="str">
        <x:v>P02-A17</x:v>
      </x:c>
      <x:c r="M62"/>
      <x:c r="N62" s="21" t="b">
        <x:v>1</x:v>
      </x:c>
      <x:c r="O62" s="21" t="b">
        <x:v>1</x:v>
      </x:c>
      <x:c r="P62" t="str">
        <x:v>P02-CA04</x:v>
      </x:c>
      <x:c r="Q62" t="str">
        <x:v>P02-WP041</x:v>
      </x:c>
      <x:c r="R62" t="str">
        <x:v>Milestone</x:v>
      </x:c>
      <x:c r="S62" t="str">
        <x:v>Approved milestone / interface milestone</x:v>
      </x:c>
      <x:c r="T62" t="str">
        <x:v>Source-explicit validated finish date | Scenario dates calculated from reconstructed logic, not source recovered</x:v>
      </x:c>
      <x:c r="U62" s="54" t="n">
        <x:v>46078</x:v>
      </x:c>
      <x:c r="V62" s="54" t="n">
        <x:v>46078</x:v>
      </x:c>
      <x:c r="W62" s="54" t="n">
        <x:v>46078</x:v>
      </x:c>
      <x:c r="X62" s="54" t="n">
        <x:v>46078</x:v>
      </x:c>
      <x:c r="Y62" s="78" t="n">
        <x:v>0</x:v>
      </x:c>
    </x:row>
    <x:row r="63" ht="21" customHeight="1">
      <x:c r="A63" t="str">
        <x:v>P03-A1</x:v>
      </x:c>
      <x:c r="B63" t="str">
        <x:v>P03</x:v>
      </x:c>
      <x:c r="C63" t="str">
        <x:v>Conduct Needs Assessment</x:v>
      </x:c>
      <x:c r="D63" t="str">
        <x:v>1.03.1.1</x:v>
      </x:c>
      <x:c r="E63" s="54" t="n">
        <x:v>45659</x:v>
      </x:c>
      <x:c r="F63" s="54" t="n">
        <x:v>45679</x:v>
      </x:c>
      <x:c r="G63" s="54"/>
      <x:c r="H63" s="54"/>
      <x:c r="I63" s="54"/>
      <x:c r="J63" s="54"/>
      <x:c r="K63" t="n">
        <x:v>15</x:v>
      </x:c>
      <x:c r="L63" t="str"/>
      <x:c r="M63"/>
      <x:c r="N63" s="21" t="b">
        <x:v>0</x:v>
      </x:c>
      <x:c r="O63" s="21" t="b">
        <x:v>1</x:v>
      </x:c>
      <x:c r="P63" t="str">
        <x:v>P03-CA01</x:v>
      </x:c>
      <x:c r="Q63" t="str">
        <x:v>P03-WP011</x:v>
      </x:c>
      <x:c r="R63" t="str">
        <x:v>Task</x:v>
      </x:c>
      <x:c r="S63" t="str">
        <x:v>Project-type realism</x:v>
      </x:c>
      <x:c r="T63" t="str">
        <x:v>Source-derived / reconstructed network | Scenario dates calculated from reconstructed logic, not source recovered</x:v>
      </x:c>
      <x:c r="U63" s="54" t="n">
        <x:v>45659</x:v>
      </x:c>
      <x:c r="V63" s="54" t="n">
        <x:v>45679</x:v>
      </x:c>
      <x:c r="W63" s="54" t="n">
        <x:v>45659</x:v>
      </x:c>
      <x:c r="X63" s="54" t="n">
        <x:v>45679</x:v>
      </x:c>
      <x:c r="Y63" s="78" t="n">
        <x:v>0</x:v>
      </x:c>
    </x:row>
    <x:row r="64" ht="21" customHeight="1">
      <x:c r="A64" t="str">
        <x:v>P03-A2</x:v>
      </x:c>
      <x:c r="B64" t="str">
        <x:v>P03</x:v>
      </x:c>
      <x:c r="C64" t="str">
        <x:v>Finalize Project Definition &amp; Scope</x:v>
      </x:c>
      <x:c r="D64" t="str">
        <x:v>1.03.1.2</x:v>
      </x:c>
      <x:c r="E64" s="54" t="n">
        <x:v>45680</x:v>
      </x:c>
      <x:c r="F64" s="54" t="n">
        <x:v>45693</x:v>
      </x:c>
      <x:c r="G64" s="54"/>
      <x:c r="H64" s="54"/>
      <x:c r="I64" s="54"/>
      <x:c r="J64" s="54"/>
      <x:c r="K64" t="n">
        <x:v>10</x:v>
      </x:c>
      <x:c r="L64" t="str">
        <x:v>P03-A1</x:v>
      </x:c>
      <x:c r="M64"/>
      <x:c r="N64" s="21" t="b">
        <x:v>0</x:v>
      </x:c>
      <x:c r="O64" s="21" t="b">
        <x:v>1</x:v>
      </x:c>
      <x:c r="P64" t="str">
        <x:v>P03-CA01</x:v>
      </x:c>
      <x:c r="Q64" t="str">
        <x:v>P03-WP012</x:v>
      </x:c>
      <x:c r="R64" t="str">
        <x:v>Task</x:v>
      </x:c>
      <x:c r="S64" t="str">
        <x:v>Project-type realism</x:v>
      </x:c>
      <x:c r="T64" t="str">
        <x:v>Source-derived / reconstructed network | Scenario dates calculated from reconstructed logic, not source recovered</x:v>
      </x:c>
      <x:c r="U64" s="54" t="n">
        <x:v>45680</x:v>
      </x:c>
      <x:c r="V64" s="54" t="n">
        <x:v>45693</x:v>
      </x:c>
      <x:c r="W64" s="54" t="n">
        <x:v>45680</x:v>
      </x:c>
      <x:c r="X64" s="54" t="n">
        <x:v>45693</x:v>
      </x:c>
      <x:c r="Y64" s="78" t="n">
        <x:v>0</x:v>
      </x:c>
    </x:row>
    <x:row r="65" ht="21" customHeight="1">
      <x:c r="A65" t="str">
        <x:v>P03-A2b</x:v>
      </x:c>
      <x:c r="B65" t="str">
        <x:v>P03</x:v>
      </x:c>
      <x:c r="C65" t="str">
        <x:v>Regulatory Pre-Design Coordination</x:v>
      </x:c>
      <x:c r="D65" t="str">
        <x:v>1.03.2.2</x:v>
      </x:c>
      <x:c r="E65" s="54" t="n">
        <x:v>45694</x:v>
      </x:c>
      <x:c r="F65" s="54" t="n">
        <x:v>45707</x:v>
      </x:c>
      <x:c r="G65" s="54"/>
      <x:c r="H65" s="54"/>
      <x:c r="I65" s="54"/>
      <x:c r="J65" s="54"/>
      <x:c r="K65" t="n">
        <x:v>10</x:v>
      </x:c>
      <x:c r="L65" t="str">
        <x:v>P03-A2</x:v>
      </x:c>
      <x:c r="M65"/>
      <x:c r="N65" s="21" t="b">
        <x:v>0</x:v>
      </x:c>
      <x:c r="O65" s="21" t="b">
        <x:v>1</x:v>
      </x:c>
      <x:c r="P65" t="str">
        <x:v>P03-CA02</x:v>
      </x:c>
      <x:c r="Q65" t="str">
        <x:v>P03-WP022</x:v>
      </x:c>
      <x:c r="R65" t="str">
        <x:v>Task</x:v>
      </x:c>
      <x:c r="S65" t="str">
        <x:v>Project-type realism</x:v>
      </x:c>
      <x:c r="T65" t="str">
        <x:v>Source-derived / reconstructed network | Scenario dates calculated from reconstructed logic, not source recovered</x:v>
      </x:c>
      <x:c r="U65" s="54" t="n">
        <x:v>45694</x:v>
      </x:c>
      <x:c r="V65" s="54" t="n">
        <x:v>45707</x:v>
      </x:c>
      <x:c r="W65" s="54" t="n">
        <x:v>45694</x:v>
      </x:c>
      <x:c r="X65" s="54" t="n">
        <x:v>45707</x:v>
      </x:c>
      <x:c r="Y65" s="78" t="n">
        <x:v>0</x:v>
      </x:c>
    </x:row>
    <x:row r="66" ht="21" customHeight="1">
      <x:c r="A66" t="str">
        <x:v>P03-A3</x:v>
      </x:c>
      <x:c r="B66" t="str">
        <x:v>P03</x:v>
      </x:c>
      <x:c r="C66" t="str">
        <x:v>Preliminary Design (30%)</x:v>
      </x:c>
      <x:c r="D66" t="str">
        <x:v>1.03.2.1</x:v>
      </x:c>
      <x:c r="E66" s="54" t="n">
        <x:v>45708</x:v>
      </x:c>
      <x:c r="F66" s="54" t="n">
        <x:v>45763</x:v>
      </x:c>
      <x:c r="G66" s="54"/>
      <x:c r="H66" s="54"/>
      <x:c r="I66" s="54"/>
      <x:c r="J66" s="54"/>
      <x:c r="K66" t="n">
        <x:v>40</x:v>
      </x:c>
      <x:c r="L66" t="str">
        <x:v>P03-A2b</x:v>
      </x:c>
      <x:c r="M66"/>
      <x:c r="N66" s="21" t="b">
        <x:v>0</x:v>
      </x:c>
      <x:c r="O66" s="21" t="b">
        <x:v>1</x:v>
      </x:c>
      <x:c r="P66" t="str">
        <x:v>P03-CA02</x:v>
      </x:c>
      <x:c r="Q66" t="str">
        <x:v>P03-WP021</x:v>
      </x:c>
      <x:c r="R66" t="str">
        <x:v>Task</x:v>
      </x:c>
      <x:c r="S66" t="str">
        <x:v>Synthetic, industry-informed</x:v>
      </x:c>
      <x:c r="T66" t="str">
        <x:v>Source-derived / reconstructed network | Scenario dates calculated from reconstructed logic, not source recovered</x:v>
      </x:c>
      <x:c r="U66" s="54" t="n">
        <x:v>45708</x:v>
      </x:c>
      <x:c r="V66" s="54" t="n">
        <x:v>45763</x:v>
      </x:c>
      <x:c r="W66" s="54" t="n">
        <x:v>45708</x:v>
      </x:c>
      <x:c r="X66" s="54" t="n">
        <x:v>45763</x:v>
      </x:c>
      <x:c r="Y66" s="78" t="n">
        <x:v>0</x:v>
      </x:c>
    </x:row>
    <x:row r="67" ht="21" customHeight="1">
      <x:c r="A67" t="str">
        <x:v>P03-A4</x:v>
      </x:c>
      <x:c r="B67" t="str">
        <x:v>P03</x:v>
      </x:c>
      <x:c r="C67" t="str">
        <x:v>Design Review Gate 1 (30% review &amp; comment resolution)</x:v>
      </x:c>
      <x:c r="D67" t="str">
        <x:v>1.03.2.1</x:v>
      </x:c>
      <x:c r="E67" s="54" t="n">
        <x:v>45764</x:v>
      </x:c>
      <x:c r="F67" s="54" t="n">
        <x:v>45784</x:v>
      </x:c>
      <x:c r="G67" s="54"/>
      <x:c r="H67" s="54"/>
      <x:c r="I67" s="54"/>
      <x:c r="J67" s="54"/>
      <x:c r="K67" t="n">
        <x:v>15</x:v>
      </x:c>
      <x:c r="L67" t="str">
        <x:v>P03-A3</x:v>
      </x:c>
      <x:c r="M67"/>
      <x:c r="N67" s="21" t="b">
        <x:v>0</x:v>
      </x:c>
      <x:c r="O67" s="21" t="b">
        <x:v>1</x:v>
      </x:c>
      <x:c r="P67" t="str">
        <x:v>P03-CA02</x:v>
      </x:c>
      <x:c r="Q67" t="str">
        <x:v>P03-WP021</x:v>
      </x:c>
      <x:c r="R67" t="str">
        <x:v>Task</x:v>
      </x:c>
      <x:c r="S67" t="str">
        <x:v>Project-type realism</x:v>
      </x:c>
      <x:c r="T67" t="str">
        <x:v>Source-derived / reconstructed network | Scenario dates calculated from reconstructed logic, not source recovered</x:v>
      </x:c>
      <x:c r="U67" s="54" t="n">
        <x:v>45764</x:v>
      </x:c>
      <x:c r="V67" s="54" t="n">
        <x:v>45784</x:v>
      </x:c>
      <x:c r="W67" s="54" t="n">
        <x:v>45764</x:v>
      </x:c>
      <x:c r="X67" s="54" t="n">
        <x:v>45784</x:v>
      </x:c>
      <x:c r="Y67" s="78" t="n">
        <x:v>0</x:v>
      </x:c>
    </x:row>
    <x:row r="68" ht="21" customHeight="1">
      <x:c r="A68" t="str">
        <x:v>P03-A5</x:v>
      </x:c>
      <x:c r="B68" t="str">
        <x:v>P03</x:v>
      </x:c>
      <x:c r="C68" t="str">
        <x:v>60%/90% Design Development</x:v>
      </x:c>
      <x:c r="D68" t="str">
        <x:v>1.03.2.2</x:v>
      </x:c>
      <x:c r="E68" s="54" t="n">
        <x:v>45785</x:v>
      </x:c>
      <x:c r="F68" s="54" t="n">
        <x:v>45826</x:v>
      </x:c>
      <x:c r="G68" s="54"/>
      <x:c r="H68" s="54"/>
      <x:c r="I68" s="54"/>
      <x:c r="J68" s="54"/>
      <x:c r="K68" t="n">
        <x:v>30</x:v>
      </x:c>
      <x:c r="L68" t="str">
        <x:v>P03-A4</x:v>
      </x:c>
      <x:c r="M68"/>
      <x:c r="N68" s="21" t="b">
        <x:v>0</x:v>
      </x:c>
      <x:c r="O68" s="21" t="b">
        <x:v>1</x:v>
      </x:c>
      <x:c r="P68" t="str">
        <x:v>P03-CA02</x:v>
      </x:c>
      <x:c r="Q68" t="str">
        <x:v>P03-WP022</x:v>
      </x:c>
      <x:c r="R68" t="str">
        <x:v>Task</x:v>
      </x:c>
      <x:c r="S68" t="str">
        <x:v>Synthetic, industry-informed</x:v>
      </x:c>
      <x:c r="T68" t="str">
        <x:v>Source-derived / reconstructed network | Scenario dates calculated from reconstructed logic, not source recovered</x:v>
      </x:c>
      <x:c r="U68" s="54" t="n">
        <x:v>45785</x:v>
      </x:c>
      <x:c r="V68" s="54" t="n">
        <x:v>45826</x:v>
      </x:c>
      <x:c r="W68" s="54" t="n">
        <x:v>45785</x:v>
      </x:c>
      <x:c r="X68" s="54" t="n">
        <x:v>45826</x:v>
      </x:c>
      <x:c r="Y68" s="78" t="n">
        <x:v>0</x:v>
      </x:c>
    </x:row>
    <x:row r="69" ht="21" customHeight="1">
      <x:c r="A69" t="str">
        <x:v>P03-A6</x:v>
      </x:c>
      <x:c r="B69" t="str">
        <x:v>P03</x:v>
      </x:c>
      <x:c r="C69" t="str">
        <x:v>Design Review Gate 2 (90% review &amp; comment resolution)</x:v>
      </x:c>
      <x:c r="D69" t="str">
        <x:v>1.03.2.2</x:v>
      </x:c>
      <x:c r="E69" s="54" t="n">
        <x:v>45827</x:v>
      </x:c>
      <x:c r="F69" s="54" t="n">
        <x:v>45847</x:v>
      </x:c>
      <x:c r="G69" s="54"/>
      <x:c r="H69" s="54"/>
      <x:c r="I69" s="54"/>
      <x:c r="J69" s="54"/>
      <x:c r="K69" t="n">
        <x:v>15</x:v>
      </x:c>
      <x:c r="L69" t="str">
        <x:v>P03-A5</x:v>
      </x:c>
      <x:c r="M69"/>
      <x:c r="N69" s="21" t="b">
        <x:v>0</x:v>
      </x:c>
      <x:c r="O69" s="21" t="b">
        <x:v>1</x:v>
      </x:c>
      <x:c r="P69" t="str">
        <x:v>P03-CA02</x:v>
      </x:c>
      <x:c r="Q69" t="str">
        <x:v>P03-WP022</x:v>
      </x:c>
      <x:c r="R69" t="str">
        <x:v>Task</x:v>
      </x:c>
      <x:c r="S69" t="str">
        <x:v>Project-type realism</x:v>
      </x:c>
      <x:c r="T69" t="str">
        <x:v>Source-derived / reconstructed network | Scenario dates calculated from reconstructed logic, not source recovered</x:v>
      </x:c>
      <x:c r="U69" s="54" t="n">
        <x:v>45827</x:v>
      </x:c>
      <x:c r="V69" s="54" t="n">
        <x:v>45847</x:v>
      </x:c>
      <x:c r="W69" s="54" t="n">
        <x:v>45827</x:v>
      </x:c>
      <x:c r="X69" s="54" t="n">
        <x:v>45847</x:v>
      </x:c>
      <x:c r="Y69" s="78" t="n">
        <x:v>0</x:v>
      </x:c>
    </x:row>
    <x:row r="70" ht="21" customHeight="1">
      <x:c r="A70" t="str">
        <x:v>P03-A7</x:v>
      </x:c>
      <x:c r="B70" t="str">
        <x:v>P03</x:v>
      </x:c>
      <x:c r="C70" t="str">
        <x:v>Final Design (100%)</x:v>
      </x:c>
      <x:c r="D70" t="str">
        <x:v>1.03.2.2</x:v>
      </x:c>
      <x:c r="E70" s="54" t="n">
        <x:v>45834</x:v>
      </x:c>
      <x:c r="F70" s="54" t="n">
        <x:v>45861</x:v>
      </x:c>
      <x:c r="G70" s="54"/>
      <x:c r="H70" s="54"/>
      <x:c r="I70" s="54"/>
      <x:c r="J70" s="54"/>
      <x:c r="K70" t="n">
        <x:v>20</x:v>
      </x:c>
      <x:c r="L70" t="str">
        <x:v>P03-A6</x:v>
      </x:c>
      <x:c r="M70"/>
      <x:c r="N70" s="21" t="b">
        <x:v>0</x:v>
      </x:c>
      <x:c r="O70" s="21" t="b">
        <x:v>1</x:v>
      </x:c>
      <x:c r="P70" t="str">
        <x:v>P03-CA02</x:v>
      </x:c>
      <x:c r="Q70" t="str">
        <x:v>P03-WP022</x:v>
      </x:c>
      <x:c r="R70" t="str">
        <x:v>Task</x:v>
      </x:c>
      <x:c r="S70" t="str">
        <x:v>Synthetic, industry-informed</x:v>
      </x:c>
      <x:c r="T70" t="str">
        <x:v>BLOCKED: source-versus-reconstructed milestone/sequence inconsistency; see focused reconciliation QA report | Scenario dates calculated from reconstructed logic, not source recovered</x:v>
      </x:c>
      <x:c r="U70" s="54" t="n">
        <x:v>45834</x:v>
      </x:c>
      <x:c r="V70" s="54" t="n">
        <x:v>45861</x:v>
      </x:c>
      <x:c r="W70" s="54" t="n">
        <x:v>45834</x:v>
      </x:c>
      <x:c r="X70" s="54" t="n">
        <x:v>45861</x:v>
      </x:c>
      <x:c r="Y70" s="78" t="n">
        <x:v>0</x:v>
      </x:c>
    </x:row>
    <x:row r="71" ht="21" customHeight="1">
      <x:c r="A71" t="str">
        <x:v>P03-I-P03-01</x:v>
      </x:c>
      <x:c r="B71" t="str">
        <x:v>P03</x:v>
      </x:c>
      <x:c r="C71" t="str">
        <x:v>Controls / I/O Design Freeze</x:v>
      </x:c>
      <x:c r="D71" t="str">
        <x:v>1.03.4.2</x:v>
      </x:c>
      <x:c r="E71" s="54" t="n">
        <x:v>45861</x:v>
      </x:c>
      <x:c r="F71" s="54" t="n">
        <x:v>45861</x:v>
      </x:c>
      <x:c r="G71" s="54"/>
      <x:c r="H71" s="54"/>
      <x:c r="I71" s="54"/>
      <x:c r="J71" s="54"/>
      <x:c r="K71" t="n">
        <x:v>0</x:v>
      </x:c>
      <x:c r="L71" t="str">
        <x:v>P03-M1</x:v>
      </x:c>
      <x:c r="M71"/>
      <x:c r="N71" s="21" t="b">
        <x:v>1</x:v>
      </x:c>
      <x:c r="O71" s="21" t="b">
        <x:v>0</x:v>
      </x:c>
      <x:c r="P71" t="str">
        <x:v>P03-CA04</x:v>
      </x:c>
      <x:c r="Q71" t="str">
        <x:v>P03-WP042</x:v>
      </x:c>
      <x:c r="R71" t="str">
        <x:v>Milestone</x:v>
      </x:c>
      <x:c r="S71" t="str">
        <x:v>Approved milestone / interface milestone</x:v>
      </x:c>
      <x:c r="T71" t="str">
        <x:v>Source-explicit milestone date | Scenario dates calculated from reconstructed logic, not source recovered</x:v>
      </x:c>
      <x:c r="U71" s="54" t="n">
        <x:v>45861</x:v>
      </x:c>
      <x:c r="V71" s="54" t="n">
        <x:v>45861</x:v>
      </x:c>
      <x:c r="W71" s="54" t="n">
        <x:v>46414</x:v>
      </x:c>
      <x:c r="X71" s="54" t="n">
        <x:v>46414</x:v>
      </x:c>
      <x:c r="Y71" s="78" t="n">
        <x:v>395</x:v>
      </x:c>
    </x:row>
    <x:row r="72" ht="21" customHeight="1">
      <x:c r="A72" t="str">
        <x:v>P03-M1</x:v>
      </x:c>
      <x:c r="B72" t="str">
        <x:v>P03</x:v>
      </x:c>
      <x:c r="C72" t="str">
        <x:v>Design Complete</x:v>
      </x:c>
      <x:c r="D72" t="str">
        <x:v>1.03.4.1</x:v>
      </x:c>
      <x:c r="E72" s="54" t="n">
        <x:v>45861</x:v>
      </x:c>
      <x:c r="F72" s="54" t="n">
        <x:v>45861</x:v>
      </x:c>
      <x:c r="G72" s="54"/>
      <x:c r="H72" s="54"/>
      <x:c r="I72" s="54"/>
      <x:c r="J72" s="54"/>
      <x:c r="K72" t="n">
        <x:v>0</x:v>
      </x:c>
      <x:c r="L72" t="str">
        <x:v>P03-A7</x:v>
      </x:c>
      <x:c r="M72"/>
      <x:c r="N72" s="21" t="b">
        <x:v>1</x:v>
      </x:c>
      <x:c r="O72" s="21" t="b">
        <x:v>0</x:v>
      </x:c>
      <x:c r="P72" t="str">
        <x:v>P03-CA04</x:v>
      </x:c>
      <x:c r="Q72" t="str">
        <x:v>P03-WP041</x:v>
      </x:c>
      <x:c r="R72" t="str">
        <x:v>Milestone</x:v>
      </x:c>
      <x:c r="S72" t="str">
        <x:v>Approved milestone / interface milestone</x:v>
      </x:c>
      <x:c r="T72" t="str">
        <x:v>BLOCKED: source-versus-reconstructed milestone/sequence inconsistency; see focused reconciliation QA report | Scenario dates calculated from reconstructed logic, not source recovered</x:v>
      </x:c>
      <x:c r="U72" s="54" t="n">
        <x:v>45861</x:v>
      </x:c>
      <x:c r="V72" s="54" t="n">
        <x:v>45861</x:v>
      </x:c>
      <x:c r="W72" s="54" t="n">
        <x:v>46414</x:v>
      </x:c>
      <x:c r="X72" s="54" t="n">
        <x:v>46414</x:v>
      </x:c>
      <x:c r="Y72" s="78" t="n">
        <x:v>395</x:v>
      </x:c>
    </x:row>
    <x:row r="73" ht="21" customHeight="1">
      <x:c r="A73" t="str">
        <x:v>P03-A8</x:v>
      </x:c>
      <x:c r="B73" t="str">
        <x:v>P03</x:v>
      </x:c>
      <x:c r="C73" t="str">
        <x:v>Prepare &amp; Advertise Bid Package</x:v>
      </x:c>
      <x:c r="D73" t="str">
        <x:v>1.03.3.1</x:v>
      </x:c>
      <x:c r="E73" s="54" t="n">
        <x:v>45848</x:v>
      </x:c>
      <x:c r="F73" s="54" t="n">
        <x:v>45875</x:v>
      </x:c>
      <x:c r="G73" s="54"/>
      <x:c r="H73" s="54"/>
      <x:c r="I73" s="54"/>
      <x:c r="J73" s="54"/>
      <x:c r="K73" t="n">
        <x:v>20</x:v>
      </x:c>
      <x:c r="L73" t="str">
        <x:v>P03-A7</x:v>
      </x:c>
      <x:c r="M73"/>
      <x:c r="N73" s="21" t="b">
        <x:v>0</x:v>
      </x:c>
      <x:c r="O73" s="21" t="b">
        <x:v>1</x:v>
      </x:c>
      <x:c r="P73" t="str">
        <x:v>P03-CA03</x:v>
      </x:c>
      <x:c r="Q73" t="str">
        <x:v>P03-WP031</x:v>
      </x:c>
      <x:c r="R73" t="str">
        <x:v>Task</x:v>
      </x:c>
      <x:c r="S73" t="str">
        <x:v>Project-type realism</x:v>
      </x:c>
      <x:c r="T73" t="str">
        <x:v>Source-derived / reconstructed network | Scenario dates calculated from reconstructed logic, not source recovered</x:v>
      </x:c>
      <x:c r="U73" s="54" t="n">
        <x:v>45848</x:v>
      </x:c>
      <x:c r="V73" s="54" t="n">
        <x:v>45875</x:v>
      </x:c>
      <x:c r="W73" s="54" t="n">
        <x:v>45848</x:v>
      </x:c>
      <x:c r="X73" s="54" t="n">
        <x:v>45875</x:v>
      </x:c>
      <x:c r="Y73" s="78" t="n">
        <x:v>0</x:v>
      </x:c>
    </x:row>
    <x:row r="74" ht="21" customHeight="1">
      <x:c r="A74" t="str">
        <x:v>P03-A7b</x:v>
      </x:c>
      <x:c r="B74" t="str">
        <x:v>P03</x:v>
      </x:c>
      <x:c r="C74" t="str">
        <x:v>Regulatory Plan Review &amp; Approval</x:v>
      </x:c>
      <x:c r="D74" t="str">
        <x:v>1.03.2.2</x:v>
      </x:c>
      <x:c r="E74" s="54" t="n">
        <x:v>45862</x:v>
      </x:c>
      <x:c r="F74" s="54" t="n">
        <x:v>45903</x:v>
      </x:c>
      <x:c r="G74" s="54"/>
      <x:c r="H74" s="54"/>
      <x:c r="I74" s="54"/>
      <x:c r="J74" s="54"/>
      <x:c r="K74" t="n">
        <x:v>30</x:v>
      </x:c>
      <x:c r="L74" t="str">
        <x:v>P03-A7</x:v>
      </x:c>
      <x:c r="M74"/>
      <x:c r="N74" s="21" t="b">
        <x:v>0</x:v>
      </x:c>
      <x:c r="O74" s="21" t="b">
        <x:v>0</x:v>
      </x:c>
      <x:c r="P74" t="str">
        <x:v>P03-CA02</x:v>
      </x:c>
      <x:c r="Q74" t="str">
        <x:v>P03-WP022</x:v>
      </x:c>
      <x:c r="R74" t="str">
        <x:v>Task</x:v>
      </x:c>
      <x:c r="S74" t="str">
        <x:v>Synthetic, industry-informed</x:v>
      </x:c>
      <x:c r="T74" t="str">
        <x:v>Source-derived / reconstructed network | Scenario dates calculated from reconstructed logic, not source recovered</x:v>
      </x:c>
      <x:c r="U74" s="54" t="n">
        <x:v>45862</x:v>
      </x:c>
      <x:c r="V74" s="54" t="n">
        <x:v>45903</x:v>
      </x:c>
      <x:c r="W74" s="54" t="n">
        <x:v>45876</x:v>
      </x:c>
      <x:c r="X74" s="54" t="n">
        <x:v>45917</x:v>
      </x:c>
      <x:c r="Y74" s="78" t="n">
        <x:v>10</x:v>
      </x:c>
    </x:row>
    <x:row r="75" ht="21" customHeight="1">
      <x:c r="A75" t="str">
        <x:v>P03-A9</x:v>
      </x:c>
      <x:c r="B75" t="str">
        <x:v>P03</x:v>
      </x:c>
      <x:c r="C75" t="str">
        <x:v>Bid Evaluation, Selection &amp; Award Recommendation</x:v>
      </x:c>
      <x:c r="D75" t="str">
        <x:v>1.03.3.1</x:v>
      </x:c>
      <x:c r="E75" s="54" t="n">
        <x:v>45876</x:v>
      </x:c>
      <x:c r="F75" s="54" t="n">
        <x:v>45896</x:v>
      </x:c>
      <x:c r="G75" s="54"/>
      <x:c r="H75" s="54"/>
      <x:c r="I75" s="54"/>
      <x:c r="J75" s="54"/>
      <x:c r="K75" t="n">
        <x:v>15</x:v>
      </x:c>
      <x:c r="L75" t="str">
        <x:v>P03-A8</x:v>
      </x:c>
      <x:c r="M75"/>
      <x:c r="N75" s="21" t="b">
        <x:v>0</x:v>
      </x:c>
      <x:c r="O75" s="21" t="b">
        <x:v>1</x:v>
      </x:c>
      <x:c r="P75" t="str">
        <x:v>P03-CA03</x:v>
      </x:c>
      <x:c r="Q75" t="str">
        <x:v>P03-WP031</x:v>
      </x:c>
      <x:c r="R75" t="str">
        <x:v>Task</x:v>
      </x:c>
      <x:c r="S75" t="str">
        <x:v>Project-type realism</x:v>
      </x:c>
      <x:c r="T75" t="str">
        <x:v>Source-derived / reconstructed network | Scenario dates calculated from reconstructed logic, not source recovered</x:v>
      </x:c>
      <x:c r="U75" s="54" t="n">
        <x:v>45876</x:v>
      </x:c>
      <x:c r="V75" s="54" t="n">
        <x:v>45896</x:v>
      </x:c>
      <x:c r="W75" s="54" t="n">
        <x:v>45876</x:v>
      </x:c>
      <x:c r="X75" s="54" t="n">
        <x:v>45896</x:v>
      </x:c>
      <x:c r="Y75" s="78" t="n">
        <x:v>0</x:v>
      </x:c>
    </x:row>
    <x:row r="76" ht="21" customHeight="1">
      <x:c r="A76" t="str">
        <x:v>P03-A9b</x:v>
      </x:c>
      <x:c r="B76" t="str">
        <x:v>P03</x:v>
      </x:c>
      <x:c r="C76" t="str">
        <x:v>Governing Body Award Approval</x:v>
      </x:c>
      <x:c r="D76" t="str">
        <x:v>1.03.3.2</x:v>
      </x:c>
      <x:c r="E76" s="54" t="n">
        <x:v>45897</x:v>
      </x:c>
      <x:c r="F76" s="54" t="n">
        <x:v>45917</x:v>
      </x:c>
      <x:c r="G76" s="54"/>
      <x:c r="H76" s="54"/>
      <x:c r="I76" s="54"/>
      <x:c r="J76" s="54"/>
      <x:c r="K76" t="n">
        <x:v>15</x:v>
      </x:c>
      <x:c r="L76" t="str">
        <x:v>P03-A9</x:v>
      </x:c>
      <x:c r="M76"/>
      <x:c r="N76" s="21" t="b">
        <x:v>0</x:v>
      </x:c>
      <x:c r="O76" s="21" t="b">
        <x:v>1</x:v>
      </x:c>
      <x:c r="P76" t="str">
        <x:v>P03-CA03</x:v>
      </x:c>
      <x:c r="Q76" t="str">
        <x:v>P03-WP032</x:v>
      </x:c>
      <x:c r="R76" t="str">
        <x:v>Task</x:v>
      </x:c>
      <x:c r="S76" t="str">
        <x:v>Approved P03 v2 explicit replacement for +15bd lag</x:v>
      </x:c>
      <x:c r="T76" t="str">
        <x:v>Source-derived / reconstructed network | Scenario dates calculated from reconstructed logic, not source recovered</x:v>
      </x:c>
      <x:c r="U76" s="54" t="n">
        <x:v>45897</x:v>
      </x:c>
      <x:c r="V76" s="54" t="n">
        <x:v>45917</x:v>
      </x:c>
      <x:c r="W76" s="54" t="n">
        <x:v>45897</x:v>
      </x:c>
      <x:c r="X76" s="54" t="n">
        <x:v>45917</x:v>
      </x:c>
      <x:c r="Y76" s="78" t="n">
        <x:v>0</x:v>
      </x:c>
    </x:row>
    <x:row r="77" ht="21" customHeight="1">
      <x:c r="A77" t="str">
        <x:v>P03-M2</x:v>
      </x:c>
      <x:c r="B77" t="str">
        <x:v>P03</x:v>
      </x:c>
      <x:c r="C77" t="str">
        <x:v>Contract Award / NTP</x:v>
      </x:c>
      <x:c r="D77" t="str">
        <x:v>1.03.4.1</x:v>
      </x:c>
      <x:c r="E77" s="54" t="n">
        <x:v>45917</x:v>
      </x:c>
      <x:c r="F77" s="54" t="n">
        <x:v>45917</x:v>
      </x:c>
      <x:c r="G77" s="54"/>
      <x:c r="H77" s="54"/>
      <x:c r="I77" s="54"/>
      <x:c r="J77" s="54"/>
      <x:c r="K77" t="n">
        <x:v>0</x:v>
      </x:c>
      <x:c r="L77" t="str">
        <x:v>P03-A9b, P03-A7b</x:v>
      </x:c>
      <x:c r="M77"/>
      <x:c r="N77" s="21" t="b">
        <x:v>1</x:v>
      </x:c>
      <x:c r="O77" s="21" t="b">
        <x:v>1</x:v>
      </x:c>
      <x:c r="P77" t="str">
        <x:v>P03-CA04</x:v>
      </x:c>
      <x:c r="Q77" t="str">
        <x:v>P03-WP041</x:v>
      </x:c>
      <x:c r="R77" t="str">
        <x:v>Milestone</x:v>
      </x:c>
      <x:c r="S77" t="str">
        <x:v>Approved milestone / interface milestone</x:v>
      </x:c>
      <x:c r="T77" t="str">
        <x:v>Source-explicit milestone date | Scenario dates calculated from reconstructed logic, not source recovered</x:v>
      </x:c>
      <x:c r="U77" s="54" t="n">
        <x:v>45917</x:v>
      </x:c>
      <x:c r="V77" s="54" t="n">
        <x:v>45917</x:v>
      </x:c>
      <x:c r="W77" s="54" t="n">
        <x:v>45917</x:v>
      </x:c>
      <x:c r="X77" s="54" t="n">
        <x:v>45917</x:v>
      </x:c>
      <x:c r="Y77" s="78" t="n">
        <x:v>0</x:v>
      </x:c>
    </x:row>
    <x:row r="78" ht="21" customHeight="1">
      <x:c r="A78" t="str">
        <x:v>P03-A10</x:v>
      </x:c>
      <x:c r="B78" t="str">
        <x:v>P03</x:v>
      </x:c>
      <x:c r="C78" t="str">
        <x:v>Contractor Mobilization</x:v>
      </x:c>
      <x:c r="D78" t="str">
        <x:v>1.03.3.2</x:v>
      </x:c>
      <x:c r="E78" s="54" t="n">
        <x:v>45918</x:v>
      </x:c>
      <x:c r="F78" s="54" t="n">
        <x:v>45945</x:v>
      </x:c>
      <x:c r="G78" s="54"/>
      <x:c r="H78" s="54"/>
      <x:c r="I78" s="54"/>
      <x:c r="J78" s="54"/>
      <x:c r="K78" t="n">
        <x:v>20</x:v>
      </x:c>
      <x:c r="L78" t="str">
        <x:v>P03-M2</x:v>
      </x:c>
      <x:c r="M78"/>
      <x:c r="N78" s="21" t="b">
        <x:v>0</x:v>
      </x:c>
      <x:c r="O78" s="21" t="b">
        <x:v>0</x:v>
      </x:c>
      <x:c r="P78" t="str">
        <x:v>P03-CA03</x:v>
      </x:c>
      <x:c r="Q78" t="str">
        <x:v>P03-WP032</x:v>
      </x:c>
      <x:c r="R78" t="str">
        <x:v>Task</x:v>
      </x:c>
      <x:c r="S78" t="str">
        <x:v>Project-type realism</x:v>
      </x:c>
      <x:c r="T78" t="str">
        <x:v>Source-derived / reconstructed network | Scenario dates calculated from reconstructed logic, not source recovered</x:v>
      </x:c>
      <x:c r="U78" s="54" t="n">
        <x:v>45918</x:v>
      </x:c>
      <x:c r="V78" s="54" t="n">
        <x:v>45945</x:v>
      </x:c>
      <x:c r="W78" s="54" t="n">
        <x:v>46387</x:v>
      </x:c>
      <x:c r="X78" s="54" t="n">
        <x:v>46414</x:v>
      </x:c>
      <x:c r="Y78" s="78" t="n">
        <x:v>335</x:v>
      </x:c>
    </x:row>
    <x:row r="79" ht="21" customHeight="1">
      <x:c r="A79" t="str">
        <x:v>P03-A11</x:v>
      </x:c>
      <x:c r="B79" t="str">
        <x:v>P03</x:v>
      </x:c>
      <x:c r="C79" t="str">
        <x:v>Process Equipment Submittal &amp; Shop Drawing Review</x:v>
      </x:c>
      <x:c r="D79" t="str">
        <x:v>1.03.4.1</x:v>
      </x:c>
      <x:c r="E79" s="54" t="n">
        <x:v>45918</x:v>
      </x:c>
      <x:c r="F79" s="54" t="n">
        <x:v>45945</x:v>
      </x:c>
      <x:c r="G79" s="54"/>
      <x:c r="H79" s="54"/>
      <x:c r="I79" s="54"/>
      <x:c r="J79" s="54"/>
      <x:c r="K79" t="n">
        <x:v>20</x:v>
      </x:c>
      <x:c r="L79" t="str">
        <x:v>P03-M2</x:v>
      </x:c>
      <x:c r="M79"/>
      <x:c r="N79" s="21" t="b">
        <x:v>0</x:v>
      </x:c>
      <x:c r="O79" s="21" t="b">
        <x:v>1</x:v>
      </x:c>
      <x:c r="P79" t="str">
        <x:v>P03-CA04</x:v>
      </x:c>
      <x:c r="Q79" t="str">
        <x:v>P03-WP041</x:v>
      </x:c>
      <x:c r="R79" t="str">
        <x:v>Task</x:v>
      </x:c>
      <x:c r="S79" t="str">
        <x:v>Project-type realism</x:v>
      </x:c>
      <x:c r="T79" t="str">
        <x:v>Source-derived / reconstructed network | Scenario dates calculated from reconstructed logic, not source recovered</x:v>
      </x:c>
      <x:c r="U79" s="54" t="n">
        <x:v>45918</x:v>
      </x:c>
      <x:c r="V79" s="54" t="n">
        <x:v>45945</x:v>
      </x:c>
      <x:c r="W79" s="54" t="n">
        <x:v>45918</x:v>
      </x:c>
      <x:c r="X79" s="54" t="n">
        <x:v>45945</x:v>
      </x:c>
      <x:c r="Y79" s="78" t="n">
        <x:v>0</x:v>
      </x:c>
    </x:row>
    <x:row r="80" ht="21" customHeight="1">
      <x:c r="A80" t="str">
        <x:v>P03-A16</x:v>
      </x:c>
      <x:c r="B80" t="str">
        <x:v>P03</x:v>
      </x:c>
      <x:c r="C80" t="str">
        <x:v>Electrical/I&amp;C Submittal &amp; Shop Drawing Review</x:v>
      </x:c>
      <x:c r="D80" t="str">
        <x:v>1.03.4.2</x:v>
      </x:c>
      <x:c r="E80" s="54" t="n">
        <x:v>45918</x:v>
      </x:c>
      <x:c r="F80" s="54" t="n">
        <x:v>45945</x:v>
      </x:c>
      <x:c r="G80" s="54"/>
      <x:c r="H80" s="54"/>
      <x:c r="I80" s="54"/>
      <x:c r="J80" s="54"/>
      <x:c r="K80" t="n">
        <x:v>20</x:v>
      </x:c>
      <x:c r="L80" t="str">
        <x:v>P03-M2</x:v>
      </x:c>
      <x:c r="M80"/>
      <x:c r="N80" s="21" t="b">
        <x:v>0</x:v>
      </x:c>
      <x:c r="O80" s="21" t="b">
        <x:v>0</x:v>
      </x:c>
      <x:c r="P80" t="str">
        <x:v>P03-CA04</x:v>
      </x:c>
      <x:c r="Q80" t="str">
        <x:v>P03-WP042</x:v>
      </x:c>
      <x:c r="R80" t="str">
        <x:v>Task</x:v>
      </x:c>
      <x:c r="S80" t="str">
        <x:v>Project-type realism</x:v>
      </x:c>
      <x:c r="T80" t="str">
        <x:v>Source-derived / reconstructed network | Scenario dates calculated from reconstructed logic, not source recovered</x:v>
      </x:c>
      <x:c r="U80" s="54" t="n">
        <x:v>45918</x:v>
      </x:c>
      <x:c r="V80" s="54" t="n">
        <x:v>45945</x:v>
      </x:c>
      <x:c r="W80" s="54" t="n">
        <x:v>45985</x:v>
      </x:c>
      <x:c r="X80" s="54" t="n">
        <x:v>46010</x:v>
      </x:c>
      <x:c r="Y80" s="78" t="n">
        <x:v>47</x:v>
      </x:c>
    </x:row>
    <x:row r="81" ht="21" customHeight="1">
      <x:c r="A81" t="str">
        <x:v>P03-A21</x:v>
      </x:c>
      <x:c r="B81" t="str">
        <x:v>P03</x:v>
      </x:c>
      <x:c r="C81" t="str">
        <x:v>Chemical Feed Equipment Submittal &amp; Review</x:v>
      </x:c>
      <x:c r="D81" t="str">
        <x:v>1.03.4.3</x:v>
      </x:c>
      <x:c r="E81" s="54" t="n">
        <x:v>45918</x:v>
      </x:c>
      <x:c r="F81" s="54" t="n">
        <x:v>45938</x:v>
      </x:c>
      <x:c r="G81" s="54"/>
      <x:c r="H81" s="54"/>
      <x:c r="I81" s="54"/>
      <x:c r="J81" s="54"/>
      <x:c r="K81" t="n">
        <x:v>15</x:v>
      </x:c>
      <x:c r="L81" t="str">
        <x:v>P03-M2</x:v>
      </x:c>
      <x:c r="M81"/>
      <x:c r="N81" s="21" t="b">
        <x:v>0</x:v>
      </x:c>
      <x:c r="O81" s="21" t="b">
        <x:v>0</x:v>
      </x:c>
      <x:c r="P81" t="str">
        <x:v>P03-CA04</x:v>
      </x:c>
      <x:c r="Q81" t="str">
        <x:v>P03-WP043</x:v>
      </x:c>
      <x:c r="R81" t="str">
        <x:v>Task</x:v>
      </x:c>
      <x:c r="S81" t="str">
        <x:v>Project-type realism</x:v>
      </x:c>
      <x:c r="T81" t="str">
        <x:v>Source-derived / reconstructed network | Scenario dates calculated from reconstructed logic, not source recovered</x:v>
      </x:c>
      <x:c r="U81" s="54" t="n">
        <x:v>45918</x:v>
      </x:c>
      <x:c r="V81" s="54" t="n">
        <x:v>45938</x:v>
      </x:c>
      <x:c r="W81" s="54" t="n">
        <x:v>46104</x:v>
      </x:c>
      <x:c r="X81" s="54" t="n">
        <x:v>46122</x:v>
      </x:c>
      <x:c r="Y81" s="78" t="n">
        <x:v>132</x:v>
      </x:c>
    </x:row>
    <x:row r="82" ht="21" customHeight="1">
      <x:c r="A82" t="str">
        <x:v>P03-A22</x:v>
      </x:c>
      <x:c r="B82" t="str">
        <x:v>P03</x:v>
      </x:c>
      <x:c r="C82" t="str">
        <x:v>Chemical Feed Equipment Fabrication</x:v>
      </x:c>
      <x:c r="D82" t="str">
        <x:v>1.03.4.3</x:v>
      </x:c>
      <x:c r="E82" s="54" t="n">
        <x:v>45939</x:v>
      </x:c>
      <x:c r="F82" s="54" t="n">
        <x:v>46008</x:v>
      </x:c>
      <x:c r="G82" s="54"/>
      <x:c r="H82" s="54"/>
      <x:c r="I82" s="54"/>
      <x:c r="J82" s="54"/>
      <x:c r="K82" t="n">
        <x:v>50</x:v>
      </x:c>
      <x:c r="L82" t="str">
        <x:v>P03-A21</x:v>
      </x:c>
      <x:c r="M82"/>
      <x:c r="N82" s="21" t="b">
        <x:v>0</x:v>
      </x:c>
      <x:c r="O82" s="21" t="b">
        <x:v>0</x:v>
      </x:c>
      <x:c r="P82" t="str">
        <x:v>P03-CA04</x:v>
      </x:c>
      <x:c r="Q82" t="str">
        <x:v>P03-WP043</x:v>
      </x:c>
      <x:c r="R82" t="str">
        <x:v>Task</x:v>
      </x:c>
      <x:c r="S82" t="str">
        <x:v>Synthetic, industry-informed</x:v>
      </x:c>
      <x:c r="T82" t="str">
        <x:v>Source-derived / reconstructed network | Scenario dates calculated from reconstructed logic, not source recovered</x:v>
      </x:c>
      <x:c r="U82" s="54" t="n">
        <x:v>45939</x:v>
      </x:c>
      <x:c r="V82" s="54" t="n">
        <x:v>46008</x:v>
      </x:c>
      <x:c r="W82" s="54" t="n">
        <x:v>46125</x:v>
      </x:c>
      <x:c r="X82" s="54" t="n">
        <x:v>46192</x:v>
      </x:c>
      <x:c r="Y82" s="78" t="n">
        <x:v>132</x:v>
      </x:c>
    </x:row>
    <x:row r="83" ht="21" customHeight="1">
      <x:c r="A83" t="str">
        <x:v>P03-I-P03-02</x:v>
      </x:c>
      <x:c r="B83" t="str">
        <x:v>P03</x:v>
      </x:c>
      <x:c r="C83" t="str">
        <x:v>Approved Point List Available</x:v>
      </x:c>
      <x:c r="D83" t="str">
        <x:v>1.03.4.1</x:v>
      </x:c>
      <x:c r="E83" s="54" t="n">
        <x:v>45945</x:v>
      </x:c>
      <x:c r="F83" s="54" t="n">
        <x:v>45945</x:v>
      </x:c>
      <x:c r="G83" s="54"/>
      <x:c r="H83" s="54"/>
      <x:c r="I83" s="54"/>
      <x:c r="J83" s="54"/>
      <x:c r="K83" t="n">
        <x:v>0</x:v>
      </x:c>
      <x:c r="L83" t="str">
        <x:v>P03-A16</x:v>
      </x:c>
      <x:c r="M83"/>
      <x:c r="N83" s="21" t="b">
        <x:v>1</x:v>
      </x:c>
      <x:c r="O83" s="21" t="b">
        <x:v>0</x:v>
      </x:c>
      <x:c r="P83" t="str">
        <x:v>P03-CA04</x:v>
      </x:c>
      <x:c r="Q83" t="str">
        <x:v>P03-WP041</x:v>
      </x:c>
      <x:c r="R83" t="str">
        <x:v>Milestone</x:v>
      </x:c>
      <x:c r="S83" t="str">
        <x:v>Approved milestone / interface milestone</x:v>
      </x:c>
      <x:c r="T83" t="str">
        <x:v>Source-explicit milestone date | Scenario dates calculated from reconstructed logic, not source recovered</x:v>
      </x:c>
      <x:c r="U83" s="54" t="n">
        <x:v>45945</x:v>
      </x:c>
      <x:c r="V83" s="54" t="n">
        <x:v>45945</x:v>
      </x:c>
      <x:c r="W83" s="54" t="n">
        <x:v>46343</x:v>
      </x:c>
      <x:c r="X83" s="54" t="n">
        <x:v>46343</x:v>
      </x:c>
      <x:c r="Y83" s="78" t="n">
        <x:v>284</x:v>
      </x:c>
    </x:row>
    <x:row r="84" ht="21" customHeight="1">
      <x:c r="A84" t="str">
        <x:v>P03-A12</x:v>
      </x:c>
      <x:c r="B84" t="str">
        <x:v>P03</x:v>
      </x:c>
      <x:c r="C84" t="str">
        <x:v>Process Equipment Fabrication</x:v>
      </x:c>
      <x:c r="D84" t="str">
        <x:v>1.03.4.1</x:v>
      </x:c>
      <x:c r="E84" s="54" t="n">
        <x:v>45946</x:v>
      </x:c>
      <x:c r="F84" s="54" t="n">
        <x:v>46085</x:v>
      </x:c>
      <x:c r="G84" s="54"/>
      <x:c r="H84" s="54"/>
      <x:c r="I84" s="54"/>
      <x:c r="J84" s="54"/>
      <x:c r="K84" t="n">
        <x:v>100</x:v>
      </x:c>
      <x:c r="L84" t="str">
        <x:v>P03-A11</x:v>
      </x:c>
      <x:c r="M84"/>
      <x:c r="N84" s="21" t="b">
        <x:v>0</x:v>
      </x:c>
      <x:c r="O84" s="21" t="b">
        <x:v>1</x:v>
      </x:c>
      <x:c r="P84" t="str">
        <x:v>P03-CA04</x:v>
      </x:c>
      <x:c r="Q84" t="str">
        <x:v>P03-WP041</x:v>
      </x:c>
      <x:c r="R84" t="str">
        <x:v>Task</x:v>
      </x:c>
      <x:c r="S84" t="str">
        <x:v>Synthetic, industry-informed</x:v>
      </x:c>
      <x:c r="T84" t="str">
        <x:v>Source-derived / reconstructed network | Scenario dates calculated from reconstructed logic, not source recovered</x:v>
      </x:c>
      <x:c r="U84" s="54" t="n">
        <x:v>45946</x:v>
      </x:c>
      <x:c r="V84" s="54" t="n">
        <x:v>46085</x:v>
      </x:c>
      <x:c r="W84" s="54" t="n">
        <x:v>45946</x:v>
      </x:c>
      <x:c r="X84" s="54" t="n">
        <x:v>46085</x:v>
      </x:c>
      <x:c r="Y84" s="78" t="n">
        <x:v>0</x:v>
      </x:c>
    </x:row>
    <x:row r="85" ht="21" customHeight="1">
      <x:c r="A85" t="str">
        <x:v>P03-A17</x:v>
      </x:c>
      <x:c r="B85" t="str">
        <x:v>P03</x:v>
      </x:c>
      <x:c r="C85" t="str">
        <x:v>Electrical Switchgear &amp; Instrumentation Fabrication</x:v>
      </x:c>
      <x:c r="D85" t="str">
        <x:v>1.03.4.2</x:v>
      </x:c>
      <x:c r="E85" s="54" t="n">
        <x:v>45946</x:v>
      </x:c>
      <x:c r="F85" s="54" t="n">
        <x:v>46057</x:v>
      </x:c>
      <x:c r="G85" s="54"/>
      <x:c r="H85" s="54"/>
      <x:c r="I85" s="54"/>
      <x:c r="J85" s="54"/>
      <x:c r="K85" t="n">
        <x:v>80</x:v>
      </x:c>
      <x:c r="L85" t="str">
        <x:v>P03-A16</x:v>
      </x:c>
      <x:c r="M85"/>
      <x:c r="N85" s="21" t="b">
        <x:v>0</x:v>
      </x:c>
      <x:c r="O85" s="21" t="b">
        <x:v>0</x:v>
      </x:c>
      <x:c r="P85" t="str">
        <x:v>P03-CA04</x:v>
      </x:c>
      <x:c r="Q85" t="str">
        <x:v>P03-WP042</x:v>
      </x:c>
      <x:c r="R85" t="str">
        <x:v>Task</x:v>
      </x:c>
      <x:c r="S85" t="str">
        <x:v>Synthetic, industry-informed</x:v>
      </x:c>
      <x:c r="T85" t="str">
        <x:v>Source-derived / reconstructed network | Scenario dates calculated from reconstructed logic, not source recovered</x:v>
      </x:c>
      <x:c r="U85" s="54" t="n">
        <x:v>45946</x:v>
      </x:c>
      <x:c r="V85" s="54" t="n">
        <x:v>46057</x:v>
      </x:c>
      <x:c r="W85" s="54" t="n">
        <x:v>46013</x:v>
      </x:c>
      <x:c r="X85" s="54" t="n">
        <x:v>46122</x:v>
      </x:c>
      <x:c r="Y85" s="78" t="n">
        <x:v>47</x:v>
      </x:c>
    </x:row>
    <x:row r="86" ht="21" customHeight="1">
      <x:c r="A86" t="str">
        <x:v>P03-A23</x:v>
      </x:c>
      <x:c r="B86" t="str">
        <x:v>P03</x:v>
      </x:c>
      <x:c r="C86" t="str">
        <x:v>Delivery &amp; Receiving Inspection — Chemical Feed</x:v>
      </x:c>
      <x:c r="D86" t="str">
        <x:v>1.03.4.3</x:v>
      </x:c>
      <x:c r="E86" s="54" t="n">
        <x:v>46009</x:v>
      </x:c>
      <x:c r="F86" s="54" t="n">
        <x:v>46020</x:v>
      </x:c>
      <x:c r="G86" s="54"/>
      <x:c r="H86" s="54"/>
      <x:c r="I86" s="54"/>
      <x:c r="J86" s="54"/>
      <x:c r="K86" t="n">
        <x:v>8</x:v>
      </x:c>
      <x:c r="L86" t="str">
        <x:v>P03-A22</x:v>
      </x:c>
      <x:c r="M86"/>
      <x:c r="N86" s="21" t="b">
        <x:v>0</x:v>
      </x:c>
      <x:c r="O86" s="21" t="b">
        <x:v>0</x:v>
      </x:c>
      <x:c r="P86" t="str">
        <x:v>P03-CA04</x:v>
      </x:c>
      <x:c r="Q86" t="str">
        <x:v>P03-WP043</x:v>
      </x:c>
      <x:c r="R86" t="str">
        <x:v>Task</x:v>
      </x:c>
      <x:c r="S86" t="str">
        <x:v>Project-type realism</x:v>
      </x:c>
      <x:c r="T86" t="str">
        <x:v>Source-derived / reconstructed network | Scenario dates calculated from reconstructed logic, not source recovered</x:v>
      </x:c>
      <x:c r="U86" s="54" t="n">
        <x:v>46009</x:v>
      </x:c>
      <x:c r="V86" s="54" t="n">
        <x:v>46020</x:v>
      </x:c>
      <x:c r="W86" s="54" t="n">
        <x:v>46195</x:v>
      </x:c>
      <x:c r="X86" s="54" t="n">
        <x:v>46204</x:v>
      </x:c>
      <x:c r="Y86" s="78" t="n">
        <x:v>132</x:v>
      </x:c>
    </x:row>
    <x:row r="87" ht="21" customHeight="1">
      <x:c r="A87" t="str">
        <x:v>P03-A18</x:v>
      </x:c>
      <x:c r="B87" t="str">
        <x:v>P03</x:v>
      </x:c>
      <x:c r="C87" t="str">
        <x:v>FAT — Electrical/I&amp;C</x:v>
      </x:c>
      <x:c r="D87" t="str">
        <x:v>1.03.4.2</x:v>
      </x:c>
      <x:c r="E87" s="54" t="n">
        <x:v>46058</x:v>
      </x:c>
      <x:c r="F87" s="54" t="n">
        <x:v>46071</x:v>
      </x:c>
      <x:c r="G87" s="54"/>
      <x:c r="H87" s="54"/>
      <x:c r="I87" s="54"/>
      <x:c r="J87" s="54"/>
      <x:c r="K87" t="n">
        <x:v>10</x:v>
      </x:c>
      <x:c r="L87" t="str">
        <x:v>P03-A17</x:v>
      </x:c>
      <x:c r="M87"/>
      <x:c r="N87" s="21" t="b">
        <x:v>0</x:v>
      </x:c>
      <x:c r="O87" s="21" t="b">
        <x:v>0</x:v>
      </x:c>
      <x:c r="P87" t="str">
        <x:v>P03-CA04</x:v>
      </x:c>
      <x:c r="Q87" t="str">
        <x:v>P03-WP042</x:v>
      </x:c>
      <x:c r="R87" t="str">
        <x:v>Task</x:v>
      </x:c>
      <x:c r="S87" t="str">
        <x:v>Project-type realism</x:v>
      </x:c>
      <x:c r="T87" t="str">
        <x:v>Source-derived / reconstructed network | Scenario dates calculated from reconstructed logic, not source recovered</x:v>
      </x:c>
      <x:c r="U87" s="54" t="n">
        <x:v>46058</x:v>
      </x:c>
      <x:c r="V87" s="54" t="n">
        <x:v>46071</x:v>
      </x:c>
      <x:c r="W87" s="54" t="n">
        <x:v>46125</x:v>
      </x:c>
      <x:c r="X87" s="54" t="n">
        <x:v>46136</x:v>
      </x:c>
      <x:c r="Y87" s="78" t="n">
        <x:v>47</x:v>
      </x:c>
    </x:row>
    <x:row r="88" ht="21" customHeight="1">
      <x:c r="A88" t="str">
        <x:v>P03-A19</x:v>
      </x:c>
      <x:c r="B88" t="str">
        <x:v>P03</x:v>
      </x:c>
      <x:c r="C88" t="str">
        <x:v>Delivery &amp; Receiving Inspection — Electrical/I&amp;C</x:v>
      </x:c>
      <x:c r="D88" t="str">
        <x:v>1.03.4.2</x:v>
      </x:c>
      <x:c r="E88" s="54" t="n">
        <x:v>46072</x:v>
      </x:c>
      <x:c r="F88" s="54" t="n">
        <x:v>46083</x:v>
      </x:c>
      <x:c r="G88" s="54"/>
      <x:c r="H88" s="54"/>
      <x:c r="I88" s="54"/>
      <x:c r="J88" s="54"/>
      <x:c r="K88" t="n">
        <x:v>8</x:v>
      </x:c>
      <x:c r="L88" t="str">
        <x:v>P03-A18</x:v>
      </x:c>
      <x:c r="M88"/>
      <x:c r="N88" s="21" t="b">
        <x:v>0</x:v>
      </x:c>
      <x:c r="O88" s="21" t="b">
        <x:v>0</x:v>
      </x:c>
      <x:c r="P88" t="str">
        <x:v>P03-CA04</x:v>
      </x:c>
      <x:c r="Q88" t="str">
        <x:v>P03-WP042</x:v>
      </x:c>
      <x:c r="R88" t="str">
        <x:v>Task</x:v>
      </x:c>
      <x:c r="S88" t="str">
        <x:v>Project-type realism</x:v>
      </x:c>
      <x:c r="T88" t="str">
        <x:v>Source-derived / reconstructed network | Scenario dates calculated from reconstructed logic, not source recovered</x:v>
      </x:c>
      <x:c r="U88" s="54" t="n">
        <x:v>46072</x:v>
      </x:c>
      <x:c r="V88" s="54" t="n">
        <x:v>46083</x:v>
      </x:c>
      <x:c r="W88" s="54" t="n">
        <x:v>46139</x:v>
      </x:c>
      <x:c r="X88" s="54" t="n">
        <x:v>46148</x:v>
      </x:c>
      <x:c r="Y88" s="78" t="n">
        <x:v>47</x:v>
      </x:c>
    </x:row>
    <x:row r="89" ht="21" customHeight="1">
      <x:c r="A89" t="str">
        <x:v>P03-A13</x:v>
      </x:c>
      <x:c r="B89" t="str">
        <x:v>P03</x:v>
      </x:c>
      <x:c r="C89" t="str">
        <x:v>FAT — Process Equipment</x:v>
      </x:c>
      <x:c r="D89" t="str">
        <x:v>1.03.4.1</x:v>
      </x:c>
      <x:c r="E89" s="54" t="n">
        <x:v>46086</x:v>
      </x:c>
      <x:c r="F89" s="54" t="n">
        <x:v>46106</x:v>
      </x:c>
      <x:c r="G89" s="54"/>
      <x:c r="H89" s="54"/>
      <x:c r="I89" s="54"/>
      <x:c r="J89" s="54"/>
      <x:c r="K89" t="n">
        <x:v>15</x:v>
      </x:c>
      <x:c r="L89" t="str">
        <x:v>P03-A12</x:v>
      </x:c>
      <x:c r="M89"/>
      <x:c r="N89" s="21" t="b">
        <x:v>0</x:v>
      </x:c>
      <x:c r="O89" s="21" t="b">
        <x:v>1</x:v>
      </x:c>
      <x:c r="P89" t="str">
        <x:v>P03-CA04</x:v>
      </x:c>
      <x:c r="Q89" t="str">
        <x:v>P03-WP041</x:v>
      </x:c>
      <x:c r="R89" t="str">
        <x:v>Task</x:v>
      </x:c>
      <x:c r="S89" t="str">
        <x:v>Project-type realism</x:v>
      </x:c>
      <x:c r="T89" t="str">
        <x:v>Source-derived / reconstructed network | Scenario dates calculated from reconstructed logic, not source recovered</x:v>
      </x:c>
      <x:c r="U89" s="54" t="n">
        <x:v>46086</x:v>
      </x:c>
      <x:c r="V89" s="54" t="n">
        <x:v>46106</x:v>
      </x:c>
      <x:c r="W89" s="54" t="n">
        <x:v>46086</x:v>
      </x:c>
      <x:c r="X89" s="54" t="n">
        <x:v>46106</x:v>
      </x:c>
      <x:c r="Y89" s="78" t="n">
        <x:v>0</x:v>
      </x:c>
    </x:row>
    <x:row r="90" ht="21" customHeight="1">
      <x:c r="A90" t="str">
        <x:v>P03-A14</x:v>
      </x:c>
      <x:c r="B90" t="str">
        <x:v>P03</x:v>
      </x:c>
      <x:c r="C90" t="str">
        <x:v>Delivery &amp; Receiving Inspection — Process Equipment</x:v>
      </x:c>
      <x:c r="D90" t="str">
        <x:v>1.03.4.1</x:v>
      </x:c>
      <x:c r="E90" s="54" t="n">
        <x:v>46107</x:v>
      </x:c>
      <x:c r="F90" s="54" t="n">
        <x:v>46120</x:v>
      </x:c>
      <x:c r="G90" s="54"/>
      <x:c r="H90" s="54"/>
      <x:c r="I90" s="54"/>
      <x:c r="J90" s="54"/>
      <x:c r="K90" t="n">
        <x:v>10</x:v>
      </x:c>
      <x:c r="L90" t="str">
        <x:v>P03-A13</x:v>
      </x:c>
      <x:c r="M90"/>
      <x:c r="N90" s="21" t="b">
        <x:v>0</x:v>
      </x:c>
      <x:c r="O90" s="21" t="b">
        <x:v>1</x:v>
      </x:c>
      <x:c r="P90" t="str">
        <x:v>P03-CA04</x:v>
      </x:c>
      <x:c r="Q90" t="str">
        <x:v>P03-WP041</x:v>
      </x:c>
      <x:c r="R90" t="str">
        <x:v>Task</x:v>
      </x:c>
      <x:c r="S90" t="str">
        <x:v>Project-type realism</x:v>
      </x:c>
      <x:c r="T90" t="str">
        <x:v>Source-derived / reconstructed network | Scenario dates calculated from reconstructed logic, not source recovered</x:v>
      </x:c>
      <x:c r="U90" s="54" t="n">
        <x:v>46107</x:v>
      </x:c>
      <x:c r="V90" s="54" t="n">
        <x:v>46120</x:v>
      </x:c>
      <x:c r="W90" s="54" t="n">
        <x:v>46107</x:v>
      </x:c>
      <x:c r="X90" s="54" t="n">
        <x:v>46120</x:v>
      </x:c>
      <x:c r="Y90" s="78" t="n">
        <x:v>0</x:v>
      </x:c>
    </x:row>
    <x:row r="91" ht="21" customHeight="1">
      <x:c r="A91" t="str">
        <x:v>P03-M5</x:v>
      </x:c>
      <x:c r="B91" t="str">
        <x:v>P03</x:v>
      </x:c>
      <x:c r="C91" t="str">
        <x:v>Major Process Equipment Delivered</x:v>
      </x:c>
      <x:c r="D91" t="str">
        <x:v>1.03.4.1</x:v>
      </x:c>
      <x:c r="E91" s="54" t="n">
        <x:v>46120</x:v>
      </x:c>
      <x:c r="F91" s="54" t="n">
        <x:v>46120</x:v>
      </x:c>
      <x:c r="G91" s="54"/>
      <x:c r="H91" s="54"/>
      <x:c r="I91" s="54"/>
      <x:c r="J91" s="54"/>
      <x:c r="K91" t="n">
        <x:v>0</x:v>
      </x:c>
      <x:c r="L91" t="str">
        <x:v>P03-A14</x:v>
      </x:c>
      <x:c r="M91"/>
      <x:c r="N91" s="21" t="b">
        <x:v>1</x:v>
      </x:c>
      <x:c r="O91" s="21" t="b">
        <x:v>0</x:v>
      </x:c>
      <x:c r="P91" t="str">
        <x:v>P03-CA04</x:v>
      </x:c>
      <x:c r="Q91" t="str">
        <x:v>P03-WP041</x:v>
      </x:c>
      <x:c r="R91" t="str">
        <x:v>Milestone</x:v>
      </x:c>
      <x:c r="S91" t="str">
        <x:v>Approved milestone / interface milestone</x:v>
      </x:c>
      <x:c r="T91" t="str">
        <x:v>Source-explicit milestone date | Scenario dates calculated from reconstructed logic, not source recovered</x:v>
      </x:c>
      <x:c r="U91" s="54" t="n">
        <x:v>46120</x:v>
      </x:c>
      <x:c r="V91" s="54" t="n">
        <x:v>46120</x:v>
      </x:c>
      <x:c r="W91" s="54" t="n">
        <x:v>46414</x:v>
      </x:c>
      <x:c r="X91" s="54" t="n">
        <x:v>46414</x:v>
      </x:c>
      <x:c r="Y91" s="78" t="n">
        <x:v>210</x:v>
      </x:c>
    </x:row>
    <x:row r="92" ht="21" customHeight="1">
      <x:c r="A92" t="str">
        <x:v>P03-A15</x:v>
      </x:c>
      <x:c r="B92" t="str">
        <x:v>P03</x:v>
      </x:c>
      <x:c r="C92" t="str">
        <x:v>Process Mechanical Installation</x:v>
      </x:c>
      <x:c r="D92" t="str">
        <x:v>1.03.4.1</x:v>
      </x:c>
      <x:c r="E92" s="54" t="n">
        <x:v>46121</x:v>
      </x:c>
      <x:c r="F92" s="54" t="n">
        <x:v>46204</x:v>
      </x:c>
      <x:c r="G92" s="54"/>
      <x:c r="H92" s="54"/>
      <x:c r="I92" s="54"/>
      <x:c r="J92" s="54"/>
      <x:c r="K92" t="n">
        <x:v>60</x:v>
      </x:c>
      <x:c r="L92" t="str">
        <x:v>P03-A14</x:v>
      </x:c>
      <x:c r="M92"/>
      <x:c r="N92" s="21" t="b">
        <x:v>0</x:v>
      </x:c>
      <x:c r="O92" s="21" t="b">
        <x:v>1</x:v>
      </x:c>
      <x:c r="P92" t="str">
        <x:v>P03-CA04</x:v>
      </x:c>
      <x:c r="Q92" t="str">
        <x:v>P03-WP041</x:v>
      </x:c>
      <x:c r="R92" t="str">
        <x:v>Task</x:v>
      </x:c>
      <x:c r="S92" t="str">
        <x:v>Synthetic, industry-informed</x:v>
      </x:c>
      <x:c r="T92" t="str">
        <x:v>Source-derived / reconstructed network | Scenario dates calculated from reconstructed logic, not source recovered</x:v>
      </x:c>
      <x:c r="U92" s="54" t="n">
        <x:v>46121</x:v>
      </x:c>
      <x:c r="V92" s="54" t="n">
        <x:v>46204</x:v>
      </x:c>
      <x:c r="W92" s="54" t="n">
        <x:v>46121</x:v>
      </x:c>
      <x:c r="X92" s="54" t="n">
        <x:v>46204</x:v>
      </x:c>
      <x:c r="Y92" s="78" t="n">
        <x:v>0</x:v>
      </x:c>
    </x:row>
    <x:row r="93" ht="21" customHeight="1">
      <x:c r="A93" t="str">
        <x:v>P03-A20</x:v>
      </x:c>
      <x:c r="B93" t="str">
        <x:v>P03</x:v>
      </x:c>
      <x:c r="C93" t="str">
        <x:v>Electrical &amp; Instrumentation Installation</x:v>
      </x:c>
      <x:c r="D93" t="str">
        <x:v>1.03.4.2</x:v>
      </x:c>
      <x:c r="E93" s="54" t="n">
        <x:v>46149</x:v>
      </x:c>
      <x:c r="F93" s="54" t="n">
        <x:v>46211</x:v>
      </x:c>
      <x:c r="G93" s="54"/>
      <x:c r="H93" s="54"/>
      <x:c r="I93" s="54"/>
      <x:c r="J93" s="54"/>
      <x:c r="K93" t="n">
        <x:v>45</x:v>
      </x:c>
      <x:c r="L93" t="str">
        <x:v>P03-A15, P03-A19</x:v>
      </x:c>
      <x:c r="M93"/>
      <x:c r="N93" s="21" t="b">
        <x:v>0</x:v>
      </x:c>
      <x:c r="O93" s="21" t="b">
        <x:v>1</x:v>
      </x:c>
      <x:c r="P93" t="str">
        <x:v>P03-CA04</x:v>
      </x:c>
      <x:c r="Q93" t="str">
        <x:v>P03-WP042</x:v>
      </x:c>
      <x:c r="R93" t="str">
        <x:v>Task</x:v>
      </x:c>
      <x:c r="S93" t="str">
        <x:v>Synthetic, industry-informed</x:v>
      </x:c>
      <x:c r="T93" t="str">
        <x:v>Source-derived / reconstructed network | Scenario dates calculated from reconstructed logic, not source recovered</x:v>
      </x:c>
      <x:c r="U93" s="54" t="n">
        <x:v>46149</x:v>
      </x:c>
      <x:c r="V93" s="54" t="n">
        <x:v>46211</x:v>
      </x:c>
      <x:c r="W93" s="54" t="n">
        <x:v>46149</x:v>
      </x:c>
      <x:c r="X93" s="54" t="n">
        <x:v>46211</x:v>
      </x:c>
      <x:c r="Y93" s="78" t="n">
        <x:v>0</x:v>
      </x:c>
    </x:row>
    <x:row r="94" ht="21" customHeight="1">
      <x:c r="A94" t="str">
        <x:v>P03-A24</x:v>
      </x:c>
      <x:c r="B94" t="str">
        <x:v>P03</x:v>
      </x:c>
      <x:c r="C94" t="str">
        <x:v>Chemical Feed System Installation</x:v>
      </x:c>
      <x:c r="D94" t="str">
        <x:v>1.03.4.3</x:v>
      </x:c>
      <x:c r="E94" s="54" t="n">
        <x:v>46163</x:v>
      </x:c>
      <x:c r="F94" s="54" t="n">
        <x:v>46197</x:v>
      </x:c>
      <x:c r="G94" s="54"/>
      <x:c r="H94" s="54"/>
      <x:c r="I94" s="54"/>
      <x:c r="J94" s="54"/>
      <x:c r="K94" t="n">
        <x:v>25</x:v>
      </x:c>
      <x:c r="L94" t="str">
        <x:v>P03-A15, P03-A23</x:v>
      </x:c>
      <x:c r="M94"/>
      <x:c r="N94" s="21" t="b">
        <x:v>0</x:v>
      </x:c>
      <x:c r="O94" s="21" t="b">
        <x:v>0</x:v>
      </x:c>
      <x:c r="P94" t="str">
        <x:v>P03-CA04</x:v>
      </x:c>
      <x:c r="Q94" t="str">
        <x:v>P03-WP043</x:v>
      </x:c>
      <x:c r="R94" t="str">
        <x:v>Task</x:v>
      </x:c>
      <x:c r="S94" t="str">
        <x:v>Synthetic, industry-informed</x:v>
      </x:c>
      <x:c r="T94" t="str">
        <x:v>Source-derived / reconstructed network | Scenario dates calculated from reconstructed logic, not source recovered</x:v>
      </x:c>
      <x:c r="U94" s="54" t="n">
        <x:v>46163</x:v>
      </x:c>
      <x:c r="V94" s="54" t="n">
        <x:v>46197</x:v>
      </x:c>
      <x:c r="W94" s="54" t="n">
        <x:v>46205</x:v>
      </x:c>
      <x:c r="X94" s="54" t="n">
        <x:v>46239</x:v>
      </x:c>
      <x:c r="Y94" s="78" t="n">
        <x:v>30</x:v>
      </x:c>
    </x:row>
    <x:row r="95" ht="21" customHeight="1">
      <x:c r="A95" t="str">
        <x:v>P03-A25</x:v>
      </x:c>
      <x:c r="B95" t="str">
        <x:v>P03</x:v>
      </x:c>
      <x:c r="C95" t="str">
        <x:v>Electrical &amp; Controls Integration</x:v>
      </x:c>
      <x:c r="D95" t="str">
        <x:v>1.03.4.2</x:v>
      </x:c>
      <x:c r="E95" s="54" t="n">
        <x:v>46212</x:v>
      </x:c>
      <x:c r="F95" s="54" t="n">
        <x:v>46239</x:v>
      </x:c>
      <x:c r="G95" s="54"/>
      <x:c r="H95" s="54"/>
      <x:c r="I95" s="54"/>
      <x:c r="J95" s="54"/>
      <x:c r="K95" t="n">
        <x:v>20</x:v>
      </x:c>
      <x:c r="L95" t="str">
        <x:v>P03-A15, P03-A20</x:v>
      </x:c>
      <x:c r="M95"/>
      <x:c r="N95" s="21" t="b">
        <x:v>0</x:v>
      </x:c>
      <x:c r="O95" s="21" t="b">
        <x:v>1</x:v>
      </x:c>
      <x:c r="P95" t="str">
        <x:v>P03-CA04</x:v>
      </x:c>
      <x:c r="Q95" t="str">
        <x:v>P03-WP042</x:v>
      </x:c>
      <x:c r="R95" t="str">
        <x:v>Task</x:v>
      </x:c>
      <x:c r="S95" t="str">
        <x:v>Project-type realism</x:v>
      </x:c>
      <x:c r="T95" t="str">
        <x:v>Source-derived / reconstructed network | Scenario dates calculated from reconstructed logic, not source recovered</x:v>
      </x:c>
      <x:c r="U95" s="54" t="n">
        <x:v>46212</x:v>
      </x:c>
      <x:c r="V95" s="54" t="n">
        <x:v>46239</x:v>
      </x:c>
      <x:c r="W95" s="54" t="n">
        <x:v>46212</x:v>
      </x:c>
      <x:c r="X95" s="54" t="n">
        <x:v>46239</x:v>
      </x:c>
      <x:c r="Y95" s="78" t="n">
        <x:v>0</x:v>
      </x:c>
    </x:row>
    <x:row r="96" ht="21" customHeight="1">
      <x:c r="A96" t="str">
        <x:v>P03-A26</x:v>
      </x:c>
      <x:c r="B96" t="str">
        <x:v>P03</x:v>
      </x:c>
      <x:c r="C96" t="str">
        <x:v>Pre-Startup Inspection &amp; Punch List</x:v>
      </x:c>
      <x:c r="D96" t="str">
        <x:v>1.03.5.1</x:v>
      </x:c>
      <x:c r="E96" s="54" t="n">
        <x:v>46240</x:v>
      </x:c>
      <x:c r="F96" s="54" t="n">
        <x:v>46260</x:v>
      </x:c>
      <x:c r="G96" s="54"/>
      <x:c r="H96" s="54"/>
      <x:c r="I96" s="54"/>
      <x:c r="J96" s="54"/>
      <x:c r="K96" t="n">
        <x:v>15</x:v>
      </x:c>
      <x:c r="L96" t="str">
        <x:v>P03-A15, P03-A25, P03-A24</x:v>
      </x:c>
      <x:c r="M96"/>
      <x:c r="N96" s="21" t="b">
        <x:v>0</x:v>
      </x:c>
      <x:c r="O96" s="21" t="b">
        <x:v>1</x:v>
      </x:c>
      <x:c r="P96" t="str">
        <x:v>P03-CA05</x:v>
      </x:c>
      <x:c r="Q96" t="str">
        <x:v>P03-WP051</x:v>
      </x:c>
      <x:c r="R96" t="str">
        <x:v>Task</x:v>
      </x:c>
      <x:c r="S96" t="str">
        <x:v>Project-type realism</x:v>
      </x:c>
      <x:c r="T96" t="str">
        <x:v>Source-derived / reconstructed network | Scenario dates calculated from reconstructed logic, not source recovered</x:v>
      </x:c>
      <x:c r="U96" s="54" t="n">
        <x:v>46240</x:v>
      </x:c>
      <x:c r="V96" s="54" t="n">
        <x:v>46260</x:v>
      </x:c>
      <x:c r="W96" s="54" t="n">
        <x:v>46240</x:v>
      </x:c>
      <x:c r="X96" s="54" t="n">
        <x:v>46260</x:v>
      </x:c>
      <x:c r="Y96" s="78" t="n">
        <x:v>0</x:v>
      </x:c>
    </x:row>
    <x:row r="97" ht="21" customHeight="1">
      <x:c r="A97" t="str">
        <x:v>P03-I-P03-03</x:v>
      </x:c>
      <x:c r="B97" t="str">
        <x:v>P03</x:v>
      </x:c>
      <x:c r="C97" t="str">
        <x:v>Controls Installation Ready for Integration</x:v>
      </x:c>
      <x:c r="D97" t="str">
        <x:v>1.03.4.2</x:v>
      </x:c>
      <x:c r="E97" s="54" t="n">
        <x:v>46260</x:v>
      </x:c>
      <x:c r="F97" s="54" t="n">
        <x:v>46260</x:v>
      </x:c>
      <x:c r="G97" s="54"/>
      <x:c r="H97" s="54"/>
      <x:c r="I97" s="54"/>
      <x:c r="J97" s="54"/>
      <x:c r="K97" t="n">
        <x:v>0</x:v>
      </x:c>
      <x:c r="L97" t="str">
        <x:v>P03-M6</x:v>
      </x:c>
      <x:c r="M97"/>
      <x:c r="N97" s="21" t="b">
        <x:v>1</x:v>
      </x:c>
      <x:c r="O97" s="21" t="b">
        <x:v>0</x:v>
      </x:c>
      <x:c r="P97" t="str">
        <x:v>P03-CA04</x:v>
      </x:c>
      <x:c r="Q97" t="str">
        <x:v>P03-WP042</x:v>
      </x:c>
      <x:c r="R97" t="str">
        <x:v>Milestone</x:v>
      </x:c>
      <x:c r="S97" t="str">
        <x:v>Approved milestone / interface milestone</x:v>
      </x:c>
      <x:c r="T97" t="str">
        <x:v>Source-explicit milestone date | Scenario dates calculated from reconstructed logic, not source recovered</x:v>
      </x:c>
      <x:c r="U97" s="54" t="n">
        <x:v>46260</x:v>
      </x:c>
      <x:c r="V97" s="54" t="n">
        <x:v>46260</x:v>
      </x:c>
      <x:c r="W97" s="54" t="n">
        <x:v>46414</x:v>
      </x:c>
      <x:c r="X97" s="54" t="n">
        <x:v>46414</x:v>
      </x:c>
      <x:c r="Y97" s="78" t="n">
        <x:v>110</x:v>
      </x:c>
    </x:row>
    <x:row r="98" ht="21" customHeight="1">
      <x:c r="A98" t="str">
        <x:v>P03-M6</x:v>
      </x:c>
      <x:c r="B98" t="str">
        <x:v>P03</x:v>
      </x:c>
      <x:c r="C98" t="str">
        <x:v>Installation Complete / Ready for Startup</x:v>
      </x:c>
      <x:c r="D98" t="str">
        <x:v>1.03.5.1</x:v>
      </x:c>
      <x:c r="E98" s="54" t="n">
        <x:v>46260</x:v>
      </x:c>
      <x:c r="F98" s="54" t="n">
        <x:v>46260</x:v>
      </x:c>
      <x:c r="G98" s="54"/>
      <x:c r="H98" s="54"/>
      <x:c r="I98" s="54"/>
      <x:c r="J98" s="54"/>
      <x:c r="K98" t="n">
        <x:v>0</x:v>
      </x:c>
      <x:c r="L98" t="str">
        <x:v>P03-A26</x:v>
      </x:c>
      <x:c r="M98"/>
      <x:c r="N98" s="21" t="b">
        <x:v>1</x:v>
      </x:c>
      <x:c r="O98" s="21" t="b">
        <x:v>0</x:v>
      </x:c>
      <x:c r="P98" t="str">
        <x:v>P03-CA05</x:v>
      </x:c>
      <x:c r="Q98" t="str">
        <x:v>P03-WP051</x:v>
      </x:c>
      <x:c r="R98" t="str">
        <x:v>Milestone</x:v>
      </x:c>
      <x:c r="S98" t="str">
        <x:v>Approved milestone / interface milestone</x:v>
      </x:c>
      <x:c r="T98" t="str">
        <x:v>Source-explicit milestone date | Scenario dates calculated from reconstructed logic, not source recovered</x:v>
      </x:c>
      <x:c r="U98" s="54" t="n">
        <x:v>46260</x:v>
      </x:c>
      <x:c r="V98" s="54" t="n">
        <x:v>46260</x:v>
      </x:c>
      <x:c r="W98" s="54" t="n">
        <x:v>46414</x:v>
      </x:c>
      <x:c r="X98" s="54" t="n">
        <x:v>46414</x:v>
      </x:c>
      <x:c r="Y98" s="78" t="n">
        <x:v>110</x:v>
      </x:c>
    </x:row>
    <x:row r="99" ht="21" customHeight="1">
      <x:c r="A99" t="str">
        <x:v>P03-A27</x:v>
      </x:c>
      <x:c r="B99" t="str">
        <x:v>P03</x:v>
      </x:c>
      <x:c r="C99" t="str">
        <x:v>Process Startup &amp; Functional Testing</x:v>
      </x:c>
      <x:c r="D99" t="str">
        <x:v>1.03.5.1</x:v>
      </x:c>
      <x:c r="E99" s="54" t="n">
        <x:v>46261</x:v>
      </x:c>
      <x:c r="F99" s="54" t="n">
        <x:v>46302</x:v>
      </x:c>
      <x:c r="G99" s="54"/>
      <x:c r="H99" s="54"/>
      <x:c r="I99" s="54"/>
      <x:c r="J99" s="54"/>
      <x:c r="K99" t="n">
        <x:v>30</x:v>
      </x:c>
      <x:c r="L99" t="str">
        <x:v>P03-A26</x:v>
      </x:c>
      <x:c r="M99"/>
      <x:c r="N99" s="21" t="b">
        <x:v>0</x:v>
      </x:c>
      <x:c r="O99" s="21" t="b">
        <x:v>1</x:v>
      </x:c>
      <x:c r="P99" t="str">
        <x:v>P03-CA05</x:v>
      </x:c>
      <x:c r="Q99" t="str">
        <x:v>P03-WP051</x:v>
      </x:c>
      <x:c r="R99" t="str">
        <x:v>Task</x:v>
      </x:c>
      <x:c r="S99" t="str">
        <x:v>Project-type realism</x:v>
      </x:c>
      <x:c r="T99" t="str">
        <x:v>Source-derived / reconstructed network | Scenario dates calculated from reconstructed logic, not source recovered</x:v>
      </x:c>
      <x:c r="U99" s="54" t="n">
        <x:v>46261</x:v>
      </x:c>
      <x:c r="V99" s="54" t="n">
        <x:v>46302</x:v>
      </x:c>
      <x:c r="W99" s="54" t="n">
        <x:v>46261</x:v>
      </x:c>
      <x:c r="X99" s="54" t="n">
        <x:v>46302</x:v>
      </x:c>
      <x:c r="Y99" s="78" t="n">
        <x:v>0</x:v>
      </x:c>
    </x:row>
    <x:row r="100" ht="21" customHeight="1">
      <x:c r="A100" t="str">
        <x:v>P03-A29</x:v>
      </x:c>
      <x:c r="B100" t="str">
        <x:v>P03</x:v>
      </x:c>
      <x:c r="C100" t="str">
        <x:v>SCADA Integration Checkout</x:v>
      </x:c>
      <x:c r="D100" t="str">
        <x:v>1.03.4.1</x:v>
      </x:c>
      <x:c r="E100" s="54" t="n">
        <x:v>46275</x:v>
      </x:c>
      <x:c r="F100" s="54" t="n">
        <x:v>46295</x:v>
      </x:c>
      <x:c r="G100" s="54"/>
      <x:c r="H100" s="54"/>
      <x:c r="I100" s="54"/>
      <x:c r="J100" s="54"/>
      <x:c r="K100" t="n">
        <x:v>15</x:v>
      </x:c>
      <x:c r="L100" t="str">
        <x:v>P03-A27</x:v>
      </x:c>
      <x:c r="M100"/>
      <x:c r="N100" s="21" t="b">
        <x:v>0</x:v>
      </x:c>
      <x:c r="O100" s="21" t="b">
        <x:v>0</x:v>
      </x:c>
      <x:c r="P100" t="str">
        <x:v>P03-CA04</x:v>
      </x:c>
      <x:c r="Q100" t="str">
        <x:v>P03-WP041</x:v>
      </x:c>
      <x:c r="R100" t="str">
        <x:v>Task</x:v>
      </x:c>
      <x:c r="S100" t="str">
        <x:v>Project-type realism</x:v>
      </x:c>
      <x:c r="T100" t="str">
        <x:v>Source-derived / reconstructed network | Scenario dates calculated from reconstructed logic, not source recovered</x:v>
      </x:c>
      <x:c r="U100" s="54" t="n">
        <x:v>46275</x:v>
      </x:c>
      <x:c r="V100" s="54" t="n">
        <x:v>46295</x:v>
      </x:c>
      <x:c r="W100" s="54" t="n">
        <x:v>46310</x:v>
      </x:c>
      <x:c r="X100" s="54" t="n">
        <x:v>46330</x:v>
      </x:c>
      <x:c r="Y100" s="78" t="n">
        <x:v>25</x:v>
      </x:c>
    </x:row>
    <x:row r="101" ht="21" customHeight="1">
      <x:c r="A101" t="str">
        <x:v>P03-M7</x:v>
      </x:c>
      <x:c r="B101" t="str">
        <x:v>P03</x:v>
      </x:c>
      <x:c r="C101" t="str">
        <x:v>Process Startup Complete</x:v>
      </x:c>
      <x:c r="D101" t="str">
        <x:v>1.03.5.1</x:v>
      </x:c>
      <x:c r="E101" s="54" t="n">
        <x:v>46302</x:v>
      </x:c>
      <x:c r="F101" s="54" t="n">
        <x:v>46302</x:v>
      </x:c>
      <x:c r="G101" s="54"/>
      <x:c r="H101" s="54"/>
      <x:c r="I101" s="54"/>
      <x:c r="J101" s="54"/>
      <x:c r="K101" t="n">
        <x:v>0</x:v>
      </x:c>
      <x:c r="L101" t="str">
        <x:v>P03-A27</x:v>
      </x:c>
      <x:c r="M101"/>
      <x:c r="N101" s="21" t="b">
        <x:v>1</x:v>
      </x:c>
      <x:c r="O101" s="21" t="b">
        <x:v>0</x:v>
      </x:c>
      <x:c r="P101" t="str">
        <x:v>P03-CA05</x:v>
      </x:c>
      <x:c r="Q101" t="str">
        <x:v>P03-WP051</x:v>
      </x:c>
      <x:c r="R101" t="str">
        <x:v>Milestone</x:v>
      </x:c>
      <x:c r="S101" t="str">
        <x:v>Approved milestone / interface milestone</x:v>
      </x:c>
      <x:c r="T101" t="str">
        <x:v>Source-explicit milestone date | Scenario dates calculated from reconstructed logic, not source recovered</x:v>
      </x:c>
      <x:c r="U101" s="54" t="n">
        <x:v>46302</x:v>
      </x:c>
      <x:c r="V101" s="54" t="n">
        <x:v>46302</x:v>
      </x:c>
      <x:c r="W101" s="54" t="n">
        <x:v>46414</x:v>
      </x:c>
      <x:c r="X101" s="54" t="n">
        <x:v>46414</x:v>
      </x:c>
      <x:c r="Y101" s="78" t="n">
        <x:v>80</x:v>
      </x:c>
    </x:row>
    <x:row r="102" ht="21" customHeight="1">
      <x:c r="A102" t="str">
        <x:v>P03-A28</x:v>
      </x:c>
      <x:c r="B102" t="str">
        <x:v>P03</x:v>
      </x:c>
      <x:c r="C102" t="str">
        <x:v>Performance / Acceptance Testing</x:v>
      </x:c>
      <x:c r="D102" t="str">
        <x:v>1.03.5.1</x:v>
      </x:c>
      <x:c r="E102" s="54" t="n">
        <x:v>46303</x:v>
      </x:c>
      <x:c r="F102" s="54" t="n">
        <x:v>46330</x:v>
      </x:c>
      <x:c r="G102" s="54"/>
      <x:c r="H102" s="54"/>
      <x:c r="I102" s="54"/>
      <x:c r="J102" s="54"/>
      <x:c r="K102" t="n">
        <x:v>20</x:v>
      </x:c>
      <x:c r="L102" t="str">
        <x:v>P03-A27</x:v>
      </x:c>
      <x:c r="M102"/>
      <x:c r="N102" s="21" t="b">
        <x:v>0</x:v>
      </x:c>
      <x:c r="O102" s="21" t="b">
        <x:v>1</x:v>
      </x:c>
      <x:c r="P102" t="str">
        <x:v>P03-CA05</x:v>
      </x:c>
      <x:c r="Q102" t="str">
        <x:v>P03-WP051</x:v>
      </x:c>
      <x:c r="R102" t="str">
        <x:v>Task</x:v>
      </x:c>
      <x:c r="S102" t="str">
        <x:v>Project-type realism</x:v>
      </x:c>
      <x:c r="T102" t="str">
        <x:v>Source-derived / reconstructed network | Scenario dates calculated from reconstructed logic, not source recovered</x:v>
      </x:c>
      <x:c r="U102" s="54" t="n">
        <x:v>46303</x:v>
      </x:c>
      <x:c r="V102" s="54" t="n">
        <x:v>46330</x:v>
      </x:c>
      <x:c r="W102" s="54" t="n">
        <x:v>46303</x:v>
      </x:c>
      <x:c r="X102" s="54" t="n">
        <x:v>46330</x:v>
      </x:c>
      <x:c r="Y102" s="78" t="n">
        <x:v>0</x:v>
      </x:c>
    </x:row>
    <x:row r="103" ht="21" customHeight="1">
      <x:c r="A103" t="str">
        <x:v>P03-M8</x:v>
      </x:c>
      <x:c r="B103" t="str">
        <x:v>P03</x:v>
      </x:c>
      <x:c r="C103" t="str">
        <x:v>Performance Testing Complete</x:v>
      </x:c>
      <x:c r="D103" t="str">
        <x:v>1.03.5.1</x:v>
      </x:c>
      <x:c r="E103" s="54" t="n">
        <x:v>46330</x:v>
      </x:c>
      <x:c r="F103" s="54" t="n">
        <x:v>46330</x:v>
      </x:c>
      <x:c r="G103" s="54"/>
      <x:c r="H103" s="54"/>
      <x:c r="I103" s="54"/>
      <x:c r="J103" s="54"/>
      <x:c r="K103" t="n">
        <x:v>0</x:v>
      </x:c>
      <x:c r="L103" t="str">
        <x:v>P03-A28</x:v>
      </x:c>
      <x:c r="M103"/>
      <x:c r="N103" s="21" t="b">
        <x:v>1</x:v>
      </x:c>
      <x:c r="O103" s="21" t="b">
        <x:v>0</x:v>
      </x:c>
      <x:c r="P103" t="str">
        <x:v>P03-CA05</x:v>
      </x:c>
      <x:c r="Q103" t="str">
        <x:v>P03-WP051</x:v>
      </x:c>
      <x:c r="R103" t="str">
        <x:v>Milestone</x:v>
      </x:c>
      <x:c r="S103" t="str">
        <x:v>Approved milestone / interface milestone</x:v>
      </x:c>
      <x:c r="T103" t="str">
        <x:v>Source-explicit milestone date | Scenario dates calculated from reconstructed logic, not source recovered</x:v>
      </x:c>
      <x:c r="U103" s="54" t="n">
        <x:v>46330</x:v>
      </x:c>
      <x:c r="V103" s="54" t="n">
        <x:v>46330</x:v>
      </x:c>
      <x:c r="W103" s="54" t="n">
        <x:v>46414</x:v>
      </x:c>
      <x:c r="X103" s="54" t="n">
        <x:v>46414</x:v>
      </x:c>
      <x:c r="Y103" s="78" t="n">
        <x:v>60</x:v>
      </x:c>
    </x:row>
    <x:row r="104" ht="21" customHeight="1">
      <x:c r="A104" t="str">
        <x:v>P03-A30</x:v>
      </x:c>
      <x:c r="B104" t="str">
        <x:v>P03</x:v>
      </x:c>
      <x:c r="C104" t="str">
        <x:v>Regulatory Acceptance / Final Inspection</x:v>
      </x:c>
      <x:c r="D104" t="str">
        <x:v>1.03.2.2</x:v>
      </x:c>
      <x:c r="E104" s="54" t="n">
        <x:v>46331</x:v>
      </x:c>
      <x:c r="F104" s="54" t="n">
        <x:v>46358</x:v>
      </x:c>
      <x:c r="G104" s="54"/>
      <x:c r="H104" s="54"/>
      <x:c r="I104" s="54"/>
      <x:c r="J104" s="54"/>
      <x:c r="K104" t="n">
        <x:v>20</x:v>
      </x:c>
      <x:c r="L104" t="str">
        <x:v>P03-A28, P03-A29</x:v>
      </x:c>
      <x:c r="M104"/>
      <x:c r="N104" s="21" t="b">
        <x:v>0</x:v>
      </x:c>
      <x:c r="O104" s="21" t="b">
        <x:v>1</x:v>
      </x:c>
      <x:c r="P104" t="str">
        <x:v>P03-CA02</x:v>
      </x:c>
      <x:c r="Q104" t="str">
        <x:v>P03-WP022</x:v>
      </x:c>
      <x:c r="R104" t="str">
        <x:v>Task</x:v>
      </x:c>
      <x:c r="S104" t="str">
        <x:v>Project-type realism</x:v>
      </x:c>
      <x:c r="T104" t="str">
        <x:v>Source-derived / reconstructed network | Scenario dates calculated from reconstructed logic, not source recovered</x:v>
      </x:c>
      <x:c r="U104" s="54" t="n">
        <x:v>46331</x:v>
      </x:c>
      <x:c r="V104" s="54" t="n">
        <x:v>46358</x:v>
      </x:c>
      <x:c r="W104" s="54" t="n">
        <x:v>46331</x:v>
      </x:c>
      <x:c r="X104" s="54" t="n">
        <x:v>46358</x:v>
      </x:c>
      <x:c r="Y104" s="78" t="n">
        <x:v>0</x:v>
      </x:c>
    </x:row>
    <x:row r="105" ht="21" customHeight="1">
      <x:c r="A105" t="str">
        <x:v>P03-M3</x:v>
      </x:c>
      <x:c r="B105" t="str">
        <x:v>P03</x:v>
      </x:c>
      <x:c r="C105" t="str">
        <x:v>Substantial Completion</x:v>
      </x:c>
      <x:c r="D105" t="str">
        <x:v>1.03.4.1</x:v>
      </x:c>
      <x:c r="E105" s="54" t="n">
        <x:v>46358</x:v>
      </x:c>
      <x:c r="F105" s="54" t="n">
        <x:v>46358</x:v>
      </x:c>
      <x:c r="G105" s="54"/>
      <x:c r="H105" s="54"/>
      <x:c r="I105" s="54"/>
      <x:c r="J105" s="54"/>
      <x:c r="K105" t="n">
        <x:v>0</x:v>
      </x:c>
      <x:c r="L105" t="str">
        <x:v>P03-A30</x:v>
      </x:c>
      <x:c r="M105"/>
      <x:c r="N105" s="21" t="b">
        <x:v>1</x:v>
      </x:c>
      <x:c r="O105" s="21" t="b">
        <x:v>0</x:v>
      </x:c>
      <x:c r="P105" t="str">
        <x:v>P03-CA04</x:v>
      </x:c>
      <x:c r="Q105" t="str">
        <x:v>P03-WP041</x:v>
      </x:c>
      <x:c r="R105" t="str">
        <x:v>Milestone</x:v>
      </x:c>
      <x:c r="S105" t="str">
        <x:v>Approved milestone / interface milestone</x:v>
      </x:c>
      <x:c r="T105" t="str">
        <x:v>Source-explicit milestone date | Scenario dates calculated from reconstructed logic, not source recovered</x:v>
      </x:c>
      <x:c r="U105" s="54" t="n">
        <x:v>46358</x:v>
      </x:c>
      <x:c r="V105" s="54" t="n">
        <x:v>46358</x:v>
      </x:c>
      <x:c r="W105" s="54" t="n">
        <x:v>46414</x:v>
      </x:c>
      <x:c r="X105" s="54" t="n">
        <x:v>46414</x:v>
      </x:c>
      <x:c r="Y105" s="78" t="n">
        <x:v>40</x:v>
      </x:c>
    </x:row>
    <x:row r="106" ht="21" customHeight="1">
      <x:c r="A106" t="str">
        <x:v>P03-M9</x:v>
      </x:c>
      <x:c r="B106" t="str">
        <x:v>P03</x:v>
      </x:c>
      <x:c r="C106" t="str">
        <x:v>Regulatory Acceptance</x:v>
      </x:c>
      <x:c r="D106" t="str">
        <x:v>1.03.2.2</x:v>
      </x:c>
      <x:c r="E106" s="54" t="n">
        <x:v>46358</x:v>
      </x:c>
      <x:c r="F106" s="54" t="n">
        <x:v>46358</x:v>
      </x:c>
      <x:c r="G106" s="54"/>
      <x:c r="H106" s="54"/>
      <x:c r="I106" s="54"/>
      <x:c r="J106" s="54"/>
      <x:c r="K106" t="n">
        <x:v>0</x:v>
      </x:c>
      <x:c r="L106" t="str">
        <x:v>P03-A30</x:v>
      </x:c>
      <x:c r="M106"/>
      <x:c r="N106" s="21" t="b">
        <x:v>1</x:v>
      </x:c>
      <x:c r="O106" s="21" t="b">
        <x:v>0</x:v>
      </x:c>
      <x:c r="P106" t="str">
        <x:v>P03-CA02</x:v>
      </x:c>
      <x:c r="Q106" t="str">
        <x:v>P03-WP022</x:v>
      </x:c>
      <x:c r="R106" t="str">
        <x:v>Milestone</x:v>
      </x:c>
      <x:c r="S106" t="str">
        <x:v>Approved milestone / interface milestone</x:v>
      </x:c>
      <x:c r="T106" t="str">
        <x:v>Source-explicit milestone date | Scenario dates calculated from reconstructed logic, not source recovered</x:v>
      </x:c>
      <x:c r="U106" s="54" t="n">
        <x:v>46358</x:v>
      </x:c>
      <x:c r="V106" s="54" t="n">
        <x:v>46358</x:v>
      </x:c>
      <x:c r="W106" s="54" t="n">
        <x:v>46414</x:v>
      </x:c>
      <x:c r="X106" s="54" t="n">
        <x:v>46414</x:v>
      </x:c>
      <x:c r="Y106" s="78" t="n">
        <x:v>40</x:v>
      </x:c>
    </x:row>
    <x:row r="107" ht="21" customHeight="1">
      <x:c r="A107" t="str">
        <x:v>P03-A31</x:v>
      </x:c>
      <x:c r="B107" t="str">
        <x:v>P03</x:v>
      </x:c>
      <x:c r="C107" t="str">
        <x:v>Final Inspection &amp; Punch List (closeout)</x:v>
      </x:c>
      <x:c r="D107" t="str">
        <x:v>1.03.6.1</x:v>
      </x:c>
      <x:c r="E107" s="54" t="n">
        <x:v>46359</x:v>
      </x:c>
      <x:c r="F107" s="54" t="n">
        <x:v>46379</x:v>
      </x:c>
      <x:c r="G107" s="54"/>
      <x:c r="H107" s="54"/>
      <x:c r="I107" s="54"/>
      <x:c r="J107" s="54"/>
      <x:c r="K107" t="n">
        <x:v>15</x:v>
      </x:c>
      <x:c r="L107" t="str">
        <x:v>P03-A30</x:v>
      </x:c>
      <x:c r="M107"/>
      <x:c r="N107" s="21" t="b">
        <x:v>0</x:v>
      </x:c>
      <x:c r="O107" s="21" t="b">
        <x:v>0</x:v>
      </x:c>
      <x:c r="P107" t="str">
        <x:v>P03-CA06</x:v>
      </x:c>
      <x:c r="Q107" t="str">
        <x:v>P03-WP061</x:v>
      </x:c>
      <x:c r="R107" t="str">
        <x:v>Task</x:v>
      </x:c>
      <x:c r="S107" t="str">
        <x:v>Project-type realism</x:v>
      </x:c>
      <x:c r="T107" t="str">
        <x:v>Source-derived / reconstructed network | Scenario dates calculated from reconstructed logic, not source recovered</x:v>
      </x:c>
      <x:c r="U107" s="54" t="n">
        <x:v>46359</x:v>
      </x:c>
      <x:c r="V107" s="54" t="n">
        <x:v>46379</x:v>
      </x:c>
      <x:c r="W107" s="54" t="n">
        <x:v>46394</x:v>
      </x:c>
      <x:c r="X107" s="54" t="n">
        <x:v>46414</x:v>
      </x:c>
      <x:c r="Y107" s="78" t="n">
        <x:v>25</x:v>
      </x:c>
    </x:row>
    <x:row r="108" ht="21" customHeight="1">
      <x:c r="A108" t="str">
        <x:v>P03-A32</x:v>
      </x:c>
      <x:c r="B108" t="str">
        <x:v>P03</x:v>
      </x:c>
      <x:c r="C108" t="str">
        <x:v>Documentation &amp; Turnover</x:v>
      </x:c>
      <x:c r="D108" t="str">
        <x:v>1.03.6.1</x:v>
      </x:c>
      <x:c r="E108" s="54" t="n">
        <x:v>46359</x:v>
      </x:c>
      <x:c r="F108" s="54" t="n">
        <x:v>46386</x:v>
      </x:c>
      <x:c r="G108" s="54"/>
      <x:c r="H108" s="54"/>
      <x:c r="I108" s="54"/>
      <x:c r="J108" s="54"/>
      <x:c r="K108" t="n">
        <x:v>20</x:v>
      </x:c>
      <x:c r="L108" t="str">
        <x:v>P03-A30</x:v>
      </x:c>
      <x:c r="M108"/>
      <x:c r="N108" s="21" t="b">
        <x:v>0</x:v>
      </x:c>
      <x:c r="O108" s="21" t="b">
        <x:v>1</x:v>
      </x:c>
      <x:c r="P108" t="str">
        <x:v>P03-CA06</x:v>
      </x:c>
      <x:c r="Q108" t="str">
        <x:v>P03-WP061</x:v>
      </x:c>
      <x:c r="R108" t="str">
        <x:v>Task</x:v>
      </x:c>
      <x:c r="S108" t="str">
        <x:v>Project-type realism</x:v>
      </x:c>
      <x:c r="T108" t="str">
        <x:v>Source-derived / reconstructed network | Scenario dates calculated from reconstructed logic, not source recovered</x:v>
      </x:c>
      <x:c r="U108" s="54" t="n">
        <x:v>46359</x:v>
      </x:c>
      <x:c r="V108" s="54" t="n">
        <x:v>46386</x:v>
      </x:c>
      <x:c r="W108" s="54" t="n">
        <x:v>46359</x:v>
      </x:c>
      <x:c r="X108" s="54" t="n">
        <x:v>46386</x:v>
      </x:c>
      <x:c r="Y108" s="78" t="n">
        <x:v>0</x:v>
      </x:c>
    </x:row>
    <x:row r="109" ht="21" customHeight="1">
      <x:c r="A109" t="str">
        <x:v>P03-A33</x:v>
      </x:c>
      <x:c r="B109" t="str">
        <x:v>P03</x:v>
      </x:c>
      <x:c r="C109" t="str">
        <x:v>Financial Closeout</x:v>
      </x:c>
      <x:c r="D109" t="str">
        <x:v>1.03.6.2</x:v>
      </x:c>
      <x:c r="E109" s="54" t="n">
        <x:v>46387</x:v>
      </x:c>
      <x:c r="F109" s="54" t="n">
        <x:v>46414</x:v>
      </x:c>
      <x:c r="G109" s="54"/>
      <x:c r="H109" s="54"/>
      <x:c r="I109" s="54"/>
      <x:c r="J109" s="54"/>
      <x:c r="K109" t="n">
        <x:v>20</x:v>
      </x:c>
      <x:c r="L109" t="str">
        <x:v>P03-A32, P03-A31</x:v>
      </x:c>
      <x:c r="M109"/>
      <x:c r="N109" s="21" t="b">
        <x:v>0</x:v>
      </x:c>
      <x:c r="O109" s="21" t="b">
        <x:v>1</x:v>
      </x:c>
      <x:c r="P109" t="str">
        <x:v>P03-CA06</x:v>
      </x:c>
      <x:c r="Q109" t="str">
        <x:v>P03-WP062</x:v>
      </x:c>
      <x:c r="R109" t="str">
        <x:v>Task</x:v>
      </x:c>
      <x:c r="S109" t="str">
        <x:v>Project-type realism</x:v>
      </x:c>
      <x:c r="T109" t="str">
        <x:v>Source-derived / reconstructed network | Scenario dates calculated from reconstructed logic, not source recovered</x:v>
      </x:c>
      <x:c r="U109" s="54" t="n">
        <x:v>46387</x:v>
      </x:c>
      <x:c r="V109" s="54" t="n">
        <x:v>46414</x:v>
      </x:c>
      <x:c r="W109" s="54" t="n">
        <x:v>46387</x:v>
      </x:c>
      <x:c r="X109" s="54" t="n">
        <x:v>46414</x:v>
      </x:c>
      <x:c r="Y109" s="78" t="n">
        <x:v>0</x:v>
      </x:c>
    </x:row>
    <x:row r="110" ht="21" customHeight="1">
      <x:c r="A110" t="str">
        <x:v>P03-M4</x:v>
      </x:c>
      <x:c r="B110" t="str">
        <x:v>P03</x:v>
      </x:c>
      <x:c r="C110" t="str">
        <x:v>Final Completion</x:v>
      </x:c>
      <x:c r="D110" t="str">
        <x:v>1.03.4.1</x:v>
      </x:c>
      <x:c r="E110" s="54" t="n">
        <x:v>46414</x:v>
      </x:c>
      <x:c r="F110" s="54" t="n">
        <x:v>46414</x:v>
      </x:c>
      <x:c r="G110" s="54"/>
      <x:c r="H110" s="54"/>
      <x:c r="I110" s="54"/>
      <x:c r="J110" s="54"/>
      <x:c r="K110" t="n">
        <x:v>0</x:v>
      </x:c>
      <x:c r="L110" t="str">
        <x:v>P03-A33</x:v>
      </x:c>
      <x:c r="M110"/>
      <x:c r="N110" s="21" t="b">
        <x:v>1</x:v>
      </x:c>
      <x:c r="O110" s="21" t="b">
        <x:v>1</x:v>
      </x:c>
      <x:c r="P110" t="str">
        <x:v>P03-CA04</x:v>
      </x:c>
      <x:c r="Q110" t="str">
        <x:v>P03-WP041</x:v>
      </x:c>
      <x:c r="R110" t="str">
        <x:v>Milestone</x:v>
      </x:c>
      <x:c r="S110" t="str">
        <x:v>Approved milestone / interface milestone</x:v>
      </x:c>
      <x:c r="T110" t="str">
        <x:v>Source-explicit milestone date | Scenario dates calculated from reconstructed logic, not source recovered</x:v>
      </x:c>
      <x:c r="U110" s="54" t="n">
        <x:v>46414</x:v>
      </x:c>
      <x:c r="V110" s="54" t="n">
        <x:v>46414</x:v>
      </x:c>
      <x:c r="W110" s="54" t="n">
        <x:v>46414</x:v>
      </x:c>
      <x:c r="X110" s="54" t="n">
        <x:v>46414</x:v>
      </x:c>
      <x:c r="Y110" s="78" t="n">
        <x:v>0</x:v>
      </x:c>
    </x:row>
    <x:row r="111" ht="21" customHeight="1">
      <x:c r="A111" t="str">
        <x:v>P04-A1</x:v>
      </x:c>
      <x:c r="B111" t="str">
        <x:v>P04</x:v>
      </x:c>
      <x:c r="C111" t="str">
        <x:v>Conduct Needs Assessment</x:v>
      </x:c>
      <x:c r="D111" t="str">
        <x:v>1.04.1.1</x:v>
      </x:c>
      <x:c r="E111" s="54" t="n">
        <x:v>45810</x:v>
      </x:c>
      <x:c r="F111" s="54" t="n">
        <x:v>45821</x:v>
      </x:c>
      <x:c r="G111" s="54"/>
      <x:c r="H111" s="54"/>
      <x:c r="I111" s="54"/>
      <x:c r="J111" s="54"/>
      <x:c r="K111" t="n">
        <x:v>10</x:v>
      </x:c>
      <x:c r="L111" t="str"/>
      <x:c r="M111"/>
      <x:c r="N111" s="21" t="b">
        <x:v>0</x:v>
      </x:c>
      <x:c r="O111" s="21" t="b">
        <x:v>1</x:v>
      </x:c>
      <x:c r="P111" t="str">
        <x:v>P04-CA01</x:v>
      </x:c>
      <x:c r="Q111" t="str">
        <x:v>P04-WP011</x:v>
      </x:c>
      <x:c r="R111" t="str">
        <x:v>Task</x:v>
      </x:c>
      <x:c r="S111" t="str">
        <x:v>Project-type realism</x:v>
      </x:c>
      <x:c r="T111" t="str">
        <x:v>Source-derived / reconstructed network</x:v>
      </x:c>
      <x:c r="U111" s="54" t="n">
        <x:v>45810</x:v>
      </x:c>
      <x:c r="V111" s="54" t="n">
        <x:v>45821</x:v>
      </x:c>
      <x:c r="W111" s="54" t="n">
        <x:v>45810</x:v>
      </x:c>
      <x:c r="X111" s="54" t="n">
        <x:v>45821</x:v>
      </x:c>
      <x:c r="Y111" s="78" t="n">
        <x:v>0</x:v>
      </x:c>
    </x:row>
    <x:row r="112" ht="21" customHeight="1">
      <x:c r="A112" t="str">
        <x:v>P04-A2</x:v>
      </x:c>
      <x:c r="B112" t="str">
        <x:v>P04</x:v>
      </x:c>
      <x:c r="C112" t="str">
        <x:v>Finalize Project Definition &amp; Scope</x:v>
      </x:c>
      <x:c r="D112" t="str">
        <x:v>1.04.1.2</x:v>
      </x:c>
      <x:c r="E112" s="54" t="n">
        <x:v>45824</x:v>
      </x:c>
      <x:c r="F112" s="54" t="n">
        <x:v>45828</x:v>
      </x:c>
      <x:c r="G112" s="54"/>
      <x:c r="H112" s="54"/>
      <x:c r="I112" s="54"/>
      <x:c r="J112" s="54"/>
      <x:c r="K112" t="n">
        <x:v>5</x:v>
      </x:c>
      <x:c r="L112" t="str">
        <x:v>P04-A1</x:v>
      </x:c>
      <x:c r="M112"/>
      <x:c r="N112" s="21" t="b">
        <x:v>0</x:v>
      </x:c>
      <x:c r="O112" s="21" t="b">
        <x:v>1</x:v>
      </x:c>
      <x:c r="P112" t="str">
        <x:v>P04-CA01</x:v>
      </x:c>
      <x:c r="Q112" t="str">
        <x:v>P04-WP012</x:v>
      </x:c>
      <x:c r="R112" t="str">
        <x:v>Task</x:v>
      </x:c>
      <x:c r="S112" t="str">
        <x:v>Project-type realism</x:v>
      </x:c>
      <x:c r="T112" t="str">
        <x:v>Source-derived / reconstructed network</x:v>
      </x:c>
      <x:c r="U112" s="54" t="n">
        <x:v>45824</x:v>
      </x:c>
      <x:c r="V112" s="54" t="n">
        <x:v>45828</x:v>
      </x:c>
      <x:c r="W112" s="54" t="n">
        <x:v>45824</x:v>
      </x:c>
      <x:c r="X112" s="54" t="n">
        <x:v>45828</x:v>
      </x:c>
      <x:c r="Y112" s="78" t="n">
        <x:v>0</x:v>
      </x:c>
    </x:row>
    <x:row r="113" ht="21" customHeight="1">
      <x:c r="A113" t="str">
        <x:v>P04-A3</x:v>
      </x:c>
      <x:c r="B113" t="str">
        <x:v>P04</x:v>
      </x:c>
      <x:c r="C113" t="str">
        <x:v>Preliminary Design (30%)</x:v>
      </x:c>
      <x:c r="D113" t="str">
        <x:v>1.04.2.1</x:v>
      </x:c>
      <x:c r="E113" s="54" t="n">
        <x:v>45831</x:v>
      </x:c>
      <x:c r="F113" s="54" t="n">
        <x:v>45856</x:v>
      </x:c>
      <x:c r="G113" s="54"/>
      <x:c r="H113" s="54"/>
      <x:c r="I113" s="54"/>
      <x:c r="J113" s="54"/>
      <x:c r="K113" t="n">
        <x:v>20</x:v>
      </x:c>
      <x:c r="L113" t="str">
        <x:v>P04-A2</x:v>
      </x:c>
      <x:c r="M113"/>
      <x:c r="N113" s="21" t="b">
        <x:v>0</x:v>
      </x:c>
      <x:c r="O113" s="21" t="b">
        <x:v>1</x:v>
      </x:c>
      <x:c r="P113" t="str">
        <x:v>P04-CA02</x:v>
      </x:c>
      <x:c r="Q113" t="str">
        <x:v>P04-WP021</x:v>
      </x:c>
      <x:c r="R113" t="str">
        <x:v>Task</x:v>
      </x:c>
      <x:c r="S113" t="str">
        <x:v>Project-type realism</x:v>
      </x:c>
      <x:c r="T113" t="str">
        <x:v>Source-derived / reconstructed network</x:v>
      </x:c>
      <x:c r="U113" s="54" t="n">
        <x:v>45831</x:v>
      </x:c>
      <x:c r="V113" s="54" t="n">
        <x:v>45856</x:v>
      </x:c>
      <x:c r="W113" s="54" t="n">
        <x:v>45831</x:v>
      </x:c>
      <x:c r="X113" s="54" t="n">
        <x:v>45856</x:v>
      </x:c>
      <x:c r="Y113" s="78" t="n">
        <x:v>0</x:v>
      </x:c>
    </x:row>
    <x:row r="114" ht="21" customHeight="1">
      <x:c r="A114" t="str">
        <x:v>P04-A4</x:v>
      </x:c>
      <x:c r="B114" t="str">
        <x:v>P04</x:v>
      </x:c>
      <x:c r="C114" t="str">
        <x:v>Final Design (100%)</x:v>
      </x:c>
      <x:c r="D114" t="str">
        <x:v>1.04.2.2</x:v>
      </x:c>
      <x:c r="E114" s="54" t="n">
        <x:v>45873</x:v>
      </x:c>
      <x:c r="F114" s="54" t="n">
        <x:v>45905</x:v>
      </x:c>
      <x:c r="G114" s="54"/>
      <x:c r="H114" s="54"/>
      <x:c r="I114" s="54"/>
      <x:c r="J114" s="54"/>
      <x:c r="K114" t="n">
        <x:v>25</x:v>
      </x:c>
      <x:c r="L114" t="str">
        <x:v>P04-A3</x:v>
      </x:c>
      <x:c r="M114"/>
      <x:c r="N114" s="21" t="b">
        <x:v>0</x:v>
      </x:c>
      <x:c r="O114" s="21" t="b">
        <x:v>1</x:v>
      </x:c>
      <x:c r="P114" t="str">
        <x:v>P04-CA02</x:v>
      </x:c>
      <x:c r="Q114" t="str">
        <x:v>P04-WP022</x:v>
      </x:c>
      <x:c r="R114" t="str">
        <x:v>Task</x:v>
      </x:c>
      <x:c r="S114" t="str">
        <x:v>Synthetic, industry-informed; +10bd review lag in logic</x:v>
      </x:c>
      <x:c r="T114" t="str">
        <x:v>Source-derived / reconstructed network</x:v>
      </x:c>
      <x:c r="U114" s="54" t="n">
        <x:v>45873</x:v>
      </x:c>
      <x:c r="V114" s="54" t="n">
        <x:v>45905</x:v>
      </x:c>
      <x:c r="W114" s="54" t="n">
        <x:v>45873</x:v>
      </x:c>
      <x:c r="X114" s="54" t="n">
        <x:v>45905</x:v>
      </x:c>
      <x:c r="Y114" s="78" t="n">
        <x:v>0</x:v>
      </x:c>
    </x:row>
    <x:row r="115" ht="21" customHeight="1">
      <x:c r="A115" t="str">
        <x:v>P04-A5</x:v>
      </x:c>
      <x:c r="B115" t="str">
        <x:v>P04</x:v>
      </x:c>
      <x:c r="C115" t="str">
        <x:v>Prepare &amp; Advertise Bid Package</x:v>
      </x:c>
      <x:c r="D115" t="str">
        <x:v>1.04.3.1</x:v>
      </x:c>
      <x:c r="E115" s="54" t="n">
        <x:v>45887</x:v>
      </x:c>
      <x:c r="F115" s="54" t="n">
        <x:v>45905</x:v>
      </x:c>
      <x:c r="G115" s="54"/>
      <x:c r="H115" s="54"/>
      <x:c r="I115" s="54"/>
      <x:c r="J115" s="54"/>
      <x:c r="K115" t="n">
        <x:v>15</x:v>
      </x:c>
      <x:c r="L115" t="str">
        <x:v>P04-A4</x:v>
      </x:c>
      <x:c r="M115"/>
      <x:c r="N115" s="21" t="b">
        <x:v>0</x:v>
      </x:c>
      <x:c r="O115" s="21" t="b">
        <x:v>1</x:v>
      </x:c>
      <x:c r="P115" t="str">
        <x:v>P04-CA03</x:v>
      </x:c>
      <x:c r="Q115" t="str">
        <x:v>P04-WP031</x:v>
      </x:c>
      <x:c r="R115" t="str">
        <x:v>Task</x:v>
      </x:c>
      <x:c r="S115" t="str">
        <x:v>Project-type realism</x:v>
      </x:c>
      <x:c r="T115" t="str">
        <x:v>Source-derived / reconstructed network</x:v>
      </x:c>
      <x:c r="U115" s="54" t="n">
        <x:v>45887</x:v>
      </x:c>
      <x:c r="V115" s="54" t="n">
        <x:v>45905</x:v>
      </x:c>
      <x:c r="W115" s="54" t="n">
        <x:v>45887</x:v>
      </x:c>
      <x:c r="X115" s="54" t="n">
        <x:v>45905</x:v>
      </x:c>
      <x:c r="Y115" s="78" t="n">
        <x:v>0</x:v>
      </x:c>
    </x:row>
    <x:row r="116" ht="21" customHeight="1">
      <x:c r="A116" t="str">
        <x:v>P04-M1</x:v>
      </x:c>
      <x:c r="B116" t="str">
        <x:v>P04</x:v>
      </x:c>
      <x:c r="C116" t="str">
        <x:v>Design Complete</x:v>
      </x:c>
      <x:c r="D116" t="str">
        <x:v>1.04.4.1</x:v>
      </x:c>
      <x:c r="E116" s="54" t="n">
        <x:v>45905</x:v>
      </x:c>
      <x:c r="F116" s="54" t="n">
        <x:v>45905</x:v>
      </x:c>
      <x:c r="G116" s="54"/>
      <x:c r="H116" s="54"/>
      <x:c r="I116" s="54"/>
      <x:c r="J116" s="54"/>
      <x:c r="K116" t="n">
        <x:v>0</x:v>
      </x:c>
      <x:c r="L116" t="str">
        <x:v>P04-A4</x:v>
      </x:c>
      <x:c r="M116"/>
      <x:c r="N116" s="21" t="b">
        <x:v>1</x:v>
      </x:c>
      <x:c r="O116" s="21" t="b">
        <x:v>0</x:v>
      </x:c>
      <x:c r="P116" t="str">
        <x:v>P04-CA04</x:v>
      </x:c>
      <x:c r="Q116" t="str">
        <x:v>P04-WP041</x:v>
      </x:c>
      <x:c r="R116" t="str">
        <x:v>Milestone</x:v>
      </x:c>
      <x:c r="S116" t="str">
        <x:v>Approved milestone / interface milestone</x:v>
      </x:c>
      <x:c r="T116" t="str">
        <x:v>Source-explicit milestone date</x:v>
      </x:c>
      <x:c r="U116" s="54" t="n">
        <x:v>45905</x:v>
      </x:c>
      <x:c r="V116" s="54" t="n">
        <x:v>45905</x:v>
      </x:c>
      <x:c r="W116" s="54" t="n">
        <x:v>46136</x:v>
      </x:c>
      <x:c r="X116" s="54" t="n">
        <x:v>46136</x:v>
      </x:c>
      <x:c r="Y116" s="78" t="n">
        <x:v>165</x:v>
      </x:c>
    </x:row>
    <x:row r="117" ht="21" customHeight="1">
      <x:c r="A117" t="str">
        <x:v>P04-A4b</x:v>
      </x:c>
      <x:c r="B117" t="str">
        <x:v>P04</x:v>
      </x:c>
      <x:c r="C117" t="str">
        <x:v>Regulatory Plan Review &amp; Approval</x:v>
      </x:c>
      <x:c r="D117" t="str">
        <x:v>1.04.2.2</x:v>
      </x:c>
      <x:c r="E117" s="54" t="n">
        <x:v>45908</x:v>
      </x:c>
      <x:c r="F117" s="54" t="n">
        <x:v>45926</x:v>
      </x:c>
      <x:c r="G117" s="54"/>
      <x:c r="H117" s="54"/>
      <x:c r="I117" s="54"/>
      <x:c r="J117" s="54"/>
      <x:c r="K117" t="n">
        <x:v>15</x:v>
      </x:c>
      <x:c r="L117" t="str">
        <x:v>P04-A4</x:v>
      </x:c>
      <x:c r="M117"/>
      <x:c r="N117" s="21" t="b">
        <x:v>0</x:v>
      </x:c>
      <x:c r="O117" s="21" t="b">
        <x:v>0</x:v>
      </x:c>
      <x:c r="P117" t="str">
        <x:v>P04-CA02</x:v>
      </x:c>
      <x:c r="Q117" t="str">
        <x:v>P04-WP022</x:v>
      </x:c>
      <x:c r="R117" t="str">
        <x:v>Task</x:v>
      </x:c>
      <x:c r="S117" t="str">
        <x:v>Project-type realism</x:v>
      </x:c>
      <x:c r="T117" t="str">
        <x:v>Source-derived / reconstructed network</x:v>
      </x:c>
      <x:c r="U117" s="54" t="n">
        <x:v>45908</x:v>
      </x:c>
      <x:c r="V117" s="54" t="n">
        <x:v>45926</x:v>
      </x:c>
      <x:c r="W117" s="54" t="n">
        <x:v>45936</x:v>
      </x:c>
      <x:c r="X117" s="54" t="n">
        <x:v>45954</x:v>
      </x:c>
      <x:c r="Y117" s="78" t="n">
        <x:v>20</x:v>
      </x:c>
    </x:row>
    <x:row r="118" ht="21" customHeight="1">
      <x:c r="A118" t="str">
        <x:v>P04-A5b</x:v>
      </x:c>
      <x:c r="B118" t="str">
        <x:v>P04</x:v>
      </x:c>
      <x:c r="C118" t="str">
        <x:v>Bid Evaluation, Selection &amp; Award Recommendation</x:v>
      </x:c>
      <x:c r="D118" t="str">
        <x:v>1.04.3.1</x:v>
      </x:c>
      <x:c r="E118" s="54" t="n">
        <x:v>45908</x:v>
      </x:c>
      <x:c r="F118" s="54" t="n">
        <x:v>45919</x:v>
      </x:c>
      <x:c r="G118" s="54"/>
      <x:c r="H118" s="54"/>
      <x:c r="I118" s="54"/>
      <x:c r="J118" s="54"/>
      <x:c r="K118" t="n">
        <x:v>10</x:v>
      </x:c>
      <x:c r="L118" t="str">
        <x:v>P04-A5</x:v>
      </x:c>
      <x:c r="M118"/>
      <x:c r="N118" s="21" t="b">
        <x:v>0</x:v>
      </x:c>
      <x:c r="O118" s="21" t="b">
        <x:v>1</x:v>
      </x:c>
      <x:c r="P118" t="str">
        <x:v>P04-CA03</x:v>
      </x:c>
      <x:c r="Q118" t="str">
        <x:v>P04-WP031</x:v>
      </x:c>
      <x:c r="R118" t="str">
        <x:v>Task</x:v>
      </x:c>
      <x:c r="S118" t="str">
        <x:v>Project-type realism</x:v>
      </x:c>
      <x:c r="T118" t="str">
        <x:v>Source-derived / reconstructed network</x:v>
      </x:c>
      <x:c r="U118" s="54" t="n">
        <x:v>45908</x:v>
      </x:c>
      <x:c r="V118" s="54" t="n">
        <x:v>45919</x:v>
      </x:c>
      <x:c r="W118" s="54" t="n">
        <x:v>45908</x:v>
      </x:c>
      <x:c r="X118" s="54" t="n">
        <x:v>45919</x:v>
      </x:c>
      <x:c r="Y118" s="78" t="n">
        <x:v>0</x:v>
      </x:c>
    </x:row>
    <x:row r="119" ht="21" customHeight="1">
      <x:c r="A119" t="str">
        <x:v>P04-A5c</x:v>
      </x:c>
      <x:c r="B119" t="str">
        <x:v>P04</x:v>
      </x:c>
      <x:c r="C119" t="str">
        <x:v>Governing Body Award Approval</x:v>
      </x:c>
      <x:c r="D119" t="str">
        <x:v>1.04.3.2</x:v>
      </x:c>
      <x:c r="E119" s="54" t="n">
        <x:v>45922</x:v>
      </x:c>
      <x:c r="F119" s="54" t="n">
        <x:v>45933</x:v>
      </x:c>
      <x:c r="G119" s="54"/>
      <x:c r="H119" s="54"/>
      <x:c r="I119" s="54"/>
      <x:c r="J119" s="54"/>
      <x:c r="K119" t="n">
        <x:v>10</x:v>
      </x:c>
      <x:c r="L119" t="str">
        <x:v>P04-A5b</x:v>
      </x:c>
      <x:c r="M119"/>
      <x:c r="N119" s="21" t="b">
        <x:v>0</x:v>
      </x:c>
      <x:c r="O119" s="21" t="b">
        <x:v>1</x:v>
      </x:c>
      <x:c r="P119" t="str">
        <x:v>P04-CA03</x:v>
      </x:c>
      <x:c r="Q119" t="str">
        <x:v>P04-WP032</x:v>
      </x:c>
      <x:c r="R119" t="str">
        <x:v>Task</x:v>
      </x:c>
      <x:c r="S119" t="str">
        <x:v>Project-type realism</x:v>
      </x:c>
      <x:c r="T119" t="str">
        <x:v>Source-derived / reconstructed network</x:v>
      </x:c>
      <x:c r="U119" s="54" t="n">
        <x:v>45922</x:v>
      </x:c>
      <x:c r="V119" s="54" t="n">
        <x:v>45933</x:v>
      </x:c>
      <x:c r="W119" s="54" t="n">
        <x:v>45922</x:v>
      </x:c>
      <x:c r="X119" s="54" t="n">
        <x:v>45933</x:v>
      </x:c>
      <x:c r="Y119" s="78" t="n">
        <x:v>0</x:v>
      </x:c>
    </x:row>
    <x:row r="120" ht="21" customHeight="1">
      <x:c r="A120" t="str">
        <x:v>P04-M2</x:v>
      </x:c>
      <x:c r="B120" t="str">
        <x:v>P04</x:v>
      </x:c>
      <x:c r="C120" t="str">
        <x:v>Contract Award / NTP</x:v>
      </x:c>
      <x:c r="D120" t="str">
        <x:v>1.04.4.1</x:v>
      </x:c>
      <x:c r="E120" s="54" t="n">
        <x:v>45954</x:v>
      </x:c>
      <x:c r="F120" s="54" t="n">
        <x:v>45954</x:v>
      </x:c>
      <x:c r="G120" s="54"/>
      <x:c r="H120" s="54"/>
      <x:c r="I120" s="54"/>
      <x:c r="J120" s="54"/>
      <x:c r="K120" t="n">
        <x:v>0</x:v>
      </x:c>
      <x:c r="L120" t="str">
        <x:v>P04-A5c, P04-A4b</x:v>
      </x:c>
      <x:c r="M120"/>
      <x:c r="N120" s="21" t="b">
        <x:v>1</x:v>
      </x:c>
      <x:c r="O120" s="21" t="b">
        <x:v>1</x:v>
      </x:c>
      <x:c r="P120" t="str">
        <x:v>P04-CA04</x:v>
      </x:c>
      <x:c r="Q120" t="str">
        <x:v>P04-WP041</x:v>
      </x:c>
      <x:c r="R120" t="str">
        <x:v>Milestone</x:v>
      </x:c>
      <x:c r="S120" t="str">
        <x:v>Approved milestone / interface milestone</x:v>
      </x:c>
      <x:c r="T120" t="str">
        <x:v>Source-explicit milestone date</x:v>
      </x:c>
      <x:c r="U120" s="54" t="n">
        <x:v>45954</x:v>
      </x:c>
      <x:c r="V120" s="54" t="n">
        <x:v>45954</x:v>
      </x:c>
      <x:c r="W120" s="54" t="n">
        <x:v>45954</x:v>
      </x:c>
      <x:c r="X120" s="54" t="n">
        <x:v>45954</x:v>
      </x:c>
      <x:c r="Y120" s="78" t="n">
        <x:v>0</x:v>
      </x:c>
    </x:row>
    <x:row r="121" ht="21" customHeight="1">
      <x:c r="A121" t="str">
        <x:v>P04-A6</x:v>
      </x:c>
      <x:c r="B121" t="str">
        <x:v>P04</x:v>
      </x:c>
      <x:c r="C121" t="str">
        <x:v>Contractor Mobilization</x:v>
      </x:c>
      <x:c r="D121" t="str">
        <x:v>1.04.3.2</x:v>
      </x:c>
      <x:c r="E121" s="54" t="n">
        <x:v>45957</x:v>
      </x:c>
      <x:c r="F121" s="54" t="n">
        <x:v>45968</x:v>
      </x:c>
      <x:c r="G121" s="54"/>
      <x:c r="H121" s="54"/>
      <x:c r="I121" s="54"/>
      <x:c r="J121" s="54"/>
      <x:c r="K121" t="n">
        <x:v>10</x:v>
      </x:c>
      <x:c r="L121" t="str">
        <x:v>P04-M2</x:v>
      </x:c>
      <x:c r="M121"/>
      <x:c r="N121" s="21" t="b">
        <x:v>0</x:v>
      </x:c>
      <x:c r="O121" s="21" t="b">
        <x:v>0</x:v>
      </x:c>
      <x:c r="P121" t="str">
        <x:v>P04-CA03</x:v>
      </x:c>
      <x:c r="Q121" t="str">
        <x:v>P04-WP032</x:v>
      </x:c>
      <x:c r="R121" t="str">
        <x:v>Task</x:v>
      </x:c>
      <x:c r="S121" t="str">
        <x:v>Project-type realism</x:v>
      </x:c>
      <x:c r="T121" t="str">
        <x:v>Source-derived / reconstructed network</x:v>
      </x:c>
      <x:c r="U121" s="54" t="n">
        <x:v>45957</x:v>
      </x:c>
      <x:c r="V121" s="54" t="n">
        <x:v>45968</x:v>
      </x:c>
      <x:c r="W121" s="54" t="n">
        <x:v>45964</x:v>
      </x:c>
      <x:c r="X121" s="54" t="n">
        <x:v>45975</x:v>
      </x:c>
      <x:c r="Y121" s="78" t="n">
        <x:v>5</x:v>
      </x:c>
    </x:row>
    <x:row r="122" ht="21" customHeight="1">
      <x:c r="A122" t="str">
        <x:v>P04-A7</x:v>
      </x:c>
      <x:c r="B122" t="str">
        <x:v>P04</x:v>
      </x:c>
      <x:c r="C122" t="str">
        <x:v>Tank Shutdown &amp; Dewatering Planning</x:v>
      </x:c>
      <x:c r="D122" t="str">
        <x:v>1.04.4.1</x:v>
      </x:c>
      <x:c r="E122" s="54" t="n">
        <x:v>45957</x:v>
      </x:c>
      <x:c r="F122" s="54" t="n">
        <x:v>45975</x:v>
      </x:c>
      <x:c r="G122" s="54"/>
      <x:c r="H122" s="54"/>
      <x:c r="I122" s="54"/>
      <x:c r="J122" s="54"/>
      <x:c r="K122" t="n">
        <x:v>15</x:v>
      </x:c>
      <x:c r="L122" t="str">
        <x:v>P04-M2</x:v>
      </x:c>
      <x:c r="M122"/>
      <x:c r="N122" s="21" t="b">
        <x:v>0</x:v>
      </x:c>
      <x:c r="O122" s="21" t="b">
        <x:v>1</x:v>
      </x:c>
      <x:c r="P122" t="str">
        <x:v>P04-CA04</x:v>
      </x:c>
      <x:c r="Q122" t="str">
        <x:v>P04-WP041</x:v>
      </x:c>
      <x:c r="R122" t="str">
        <x:v>Task</x:v>
      </x:c>
      <x:c r="S122" t="str">
        <x:v>Project-type realism</x:v>
      </x:c>
      <x:c r="T122" t="str">
        <x:v>Source-derived / reconstructed network</x:v>
      </x:c>
      <x:c r="U122" s="54" t="n">
        <x:v>45957</x:v>
      </x:c>
      <x:c r="V122" s="54" t="n">
        <x:v>45975</x:v>
      </x:c>
      <x:c r="W122" s="54" t="n">
        <x:v>45957</x:v>
      </x:c>
      <x:c r="X122" s="54" t="n">
        <x:v>45975</x:v>
      </x:c>
      <x:c r="Y122" s="78" t="n">
        <x:v>0</x:v>
      </x:c>
    </x:row>
    <x:row r="123" ht="21" customHeight="1">
      <x:c r="A123" t="str">
        <x:v>P04-A8</x:v>
      </x:c>
      <x:c r="B123" t="str">
        <x:v>P04</x:v>
      </x:c>
      <x:c r="C123" t="str">
        <x:v>Take Tank Offline &amp; Dewater</x:v>
      </x:c>
      <x:c r="D123" t="str">
        <x:v>1.04.4.1</x:v>
      </x:c>
      <x:c r="E123" s="54" t="n">
        <x:v>45978</x:v>
      </x:c>
      <x:c r="F123" s="54" t="n">
        <x:v>45982</x:v>
      </x:c>
      <x:c r="G123" s="54"/>
      <x:c r="H123" s="54"/>
      <x:c r="I123" s="54"/>
      <x:c r="J123" s="54"/>
      <x:c r="K123" t="n">
        <x:v>5</x:v>
      </x:c>
      <x:c r="L123" t="str">
        <x:v>P04-A6, P04-A7</x:v>
      </x:c>
      <x:c r="M123"/>
      <x:c r="N123" s="21" t="b">
        <x:v>0</x:v>
      </x:c>
      <x:c r="O123" s="21" t="b">
        <x:v>1</x:v>
      </x:c>
      <x:c r="P123" t="str">
        <x:v>P04-CA04</x:v>
      </x:c>
      <x:c r="Q123" t="str">
        <x:v>P04-WP041</x:v>
      </x:c>
      <x:c r="R123" t="str">
        <x:v>Task</x:v>
      </x:c>
      <x:c r="S123" t="str">
        <x:v>Project-type realism</x:v>
      </x:c>
      <x:c r="T123" t="str">
        <x:v>Source-derived / reconstructed network</x:v>
      </x:c>
      <x:c r="U123" s="54" t="n">
        <x:v>45978</x:v>
      </x:c>
      <x:c r="V123" s="54" t="n">
        <x:v>45982</x:v>
      </x:c>
      <x:c r="W123" s="54" t="n">
        <x:v>45978</x:v>
      </x:c>
      <x:c r="X123" s="54" t="n">
        <x:v>45982</x:v>
      </x:c>
      <x:c r="Y123" s="78" t="n">
        <x:v>0</x:v>
      </x:c>
    </x:row>
    <x:row r="124" ht="21" customHeight="1">
      <x:c r="A124" t="str">
        <x:v>P04-A9</x:v>
      </x:c>
      <x:c r="B124" t="str">
        <x:v>P04</x:v>
      </x:c>
      <x:c r="C124" t="str">
        <x:v>Interior/Exterior Surface Preparation (abrasive blasting)</x:v>
      </x:c>
      <x:c r="D124" t="str">
        <x:v>1.04.4.1</x:v>
      </x:c>
      <x:c r="E124" s="54" t="n">
        <x:v>45985</x:v>
      </x:c>
      <x:c r="F124" s="54" t="n">
        <x:v>46003</x:v>
      </x:c>
      <x:c r="G124" s="54"/>
      <x:c r="H124" s="54"/>
      <x:c r="I124" s="54"/>
      <x:c r="J124" s="54"/>
      <x:c r="K124" t="n">
        <x:v>15</x:v>
      </x:c>
      <x:c r="L124" t="str">
        <x:v>P04-A8</x:v>
      </x:c>
      <x:c r="M124"/>
      <x:c r="N124" s="21" t="b">
        <x:v>0</x:v>
      </x:c>
      <x:c r="O124" s="21" t="b">
        <x:v>1</x:v>
      </x:c>
      <x:c r="P124" t="str">
        <x:v>P04-CA04</x:v>
      </x:c>
      <x:c r="Q124" t="str">
        <x:v>P04-WP041</x:v>
      </x:c>
      <x:c r="R124" t="str">
        <x:v>Task</x:v>
      </x:c>
      <x:c r="S124" t="str">
        <x:v>Project-type realism</x:v>
      </x:c>
      <x:c r="T124" t="str">
        <x:v>Source-derived / reconstructed network</x:v>
      </x:c>
      <x:c r="U124" s="54" t="n">
        <x:v>45985</x:v>
      </x:c>
      <x:c r="V124" s="54" t="n">
        <x:v>46003</x:v>
      </x:c>
      <x:c r="W124" s="54" t="n">
        <x:v>45985</x:v>
      </x:c>
      <x:c r="X124" s="54" t="n">
        <x:v>46003</x:v>
      </x:c>
      <x:c r="Y124" s="78" t="n">
        <x:v>0</x:v>
      </x:c>
    </x:row>
    <x:row r="125" ht="21" customHeight="1">
      <x:c r="A125" t="str">
        <x:v>P04-A10</x:v>
      </x:c>
      <x:c r="B125" t="str">
        <x:v>P04</x:v>
      </x:c>
      <x:c r="C125" t="str">
        <x:v>Structural Steel Repairs</x:v>
      </x:c>
      <x:c r="D125" t="str">
        <x:v>1.04.4.2</x:v>
      </x:c>
      <x:c r="E125" s="54" t="n">
        <x:v>46006</x:v>
      </x:c>
      <x:c r="F125" s="54" t="n">
        <x:v>46017</x:v>
      </x:c>
      <x:c r="G125" s="54"/>
      <x:c r="H125" s="54"/>
      <x:c r="I125" s="54"/>
      <x:c r="J125" s="54"/>
      <x:c r="K125" t="n">
        <x:v>10</x:v>
      </x:c>
      <x:c r="L125" t="str">
        <x:v>P04-A9</x:v>
      </x:c>
      <x:c r="M125"/>
      <x:c r="N125" s="21" t="b">
        <x:v>0</x:v>
      </x:c>
      <x:c r="O125" s="21" t="b">
        <x:v>1</x:v>
      </x:c>
      <x:c r="P125" t="str">
        <x:v>P04-CA04</x:v>
      </x:c>
      <x:c r="Q125" t="str">
        <x:v>P04-WP042</x:v>
      </x:c>
      <x:c r="R125" t="str">
        <x:v>Task</x:v>
      </x:c>
      <x:c r="S125" t="str">
        <x:v>Project-type realism</x:v>
      </x:c>
      <x:c r="T125" t="str">
        <x:v>Source-derived / reconstructed network</x:v>
      </x:c>
      <x:c r="U125" s="54" t="n">
        <x:v>46006</x:v>
      </x:c>
      <x:c r="V125" s="54" t="n">
        <x:v>46017</x:v>
      </x:c>
      <x:c r="W125" s="54" t="n">
        <x:v>46006</x:v>
      </x:c>
      <x:c r="X125" s="54" t="n">
        <x:v>46017</x:v>
      </x:c>
      <x:c r="Y125" s="78" t="n">
        <x:v>0</x:v>
      </x:c>
    </x:row>
    <x:row r="126" ht="21" customHeight="1">
      <x:c r="A126" t="str">
        <x:v>P04-A11</x:v>
      </x:c>
      <x:c r="B126" t="str">
        <x:v>P04</x:v>
      </x:c>
      <x:c r="C126" t="str">
        <x:v>Cathodic Protection System Installation</x:v>
      </x:c>
      <x:c r="D126" t="str">
        <x:v>1.04.4.3</x:v>
      </x:c>
      <x:c r="E126" s="54" t="n">
        <x:v>46020</x:v>
      </x:c>
      <x:c r="F126" s="54" t="n">
        <x:v>46038</x:v>
      </x:c>
      <x:c r="G126" s="54"/>
      <x:c r="H126" s="54"/>
      <x:c r="I126" s="54"/>
      <x:c r="J126" s="54"/>
      <x:c r="K126" t="n">
        <x:v>15</x:v>
      </x:c>
      <x:c r="L126" t="str">
        <x:v>P04-A10</x:v>
      </x:c>
      <x:c r="M126"/>
      <x:c r="N126" s="21" t="b">
        <x:v>0</x:v>
      </x:c>
      <x:c r="O126" s="21" t="b">
        <x:v>1</x:v>
      </x:c>
      <x:c r="P126" t="str">
        <x:v>P04-CA04</x:v>
      </x:c>
      <x:c r="Q126" t="str">
        <x:v>P04-WP043</x:v>
      </x:c>
      <x:c r="R126" t="str">
        <x:v>Task</x:v>
      </x:c>
      <x:c r="S126" t="str">
        <x:v>Project-type realism</x:v>
      </x:c>
      <x:c r="T126" t="str">
        <x:v>Source-derived / reconstructed network</x:v>
      </x:c>
      <x:c r="U126" s="54" t="n">
        <x:v>46020</x:v>
      </x:c>
      <x:c r="V126" s="54" t="n">
        <x:v>46038</x:v>
      </x:c>
      <x:c r="W126" s="54" t="n">
        <x:v>46020</x:v>
      </x:c>
      <x:c r="X126" s="54" t="n">
        <x:v>46038</x:v>
      </x:c>
      <x:c r="Y126" s="78" t="n">
        <x:v>0</x:v>
      </x:c>
    </x:row>
    <x:row r="127" ht="21" customHeight="1">
      <x:c r="A127" t="str">
        <x:v>P04-A12</x:v>
      </x:c>
      <x:c r="B127" t="str">
        <x:v>P04</x:v>
      </x:c>
      <x:c r="C127" t="str">
        <x:v>Interior/Exterior Coating Application</x:v>
      </x:c>
      <x:c r="D127" t="str">
        <x:v>1.04.4.1</x:v>
      </x:c>
      <x:c r="E127" s="54" t="n">
        <x:v>46041</x:v>
      </x:c>
      <x:c r="F127" s="54" t="n">
        <x:v>46066</x:v>
      </x:c>
      <x:c r="G127" s="54"/>
      <x:c r="H127" s="54"/>
      <x:c r="I127" s="54"/>
      <x:c r="J127" s="54"/>
      <x:c r="K127" t="n">
        <x:v>20</x:v>
      </x:c>
      <x:c r="L127" t="str">
        <x:v>P04-A11</x:v>
      </x:c>
      <x:c r="M127"/>
      <x:c r="N127" s="21" t="b">
        <x:v>0</x:v>
      </x:c>
      <x:c r="O127" s="21" t="b">
        <x:v>1</x:v>
      </x:c>
      <x:c r="P127" t="str">
        <x:v>P04-CA04</x:v>
      </x:c>
      <x:c r="Q127" t="str">
        <x:v>P04-WP041</x:v>
      </x:c>
      <x:c r="R127" t="str">
        <x:v>Task</x:v>
      </x:c>
      <x:c r="S127" t="str">
        <x:v>Synthetic, industry-informed</x:v>
      </x:c>
      <x:c r="T127" t="str">
        <x:v>Source-derived / reconstructed network</x:v>
      </x:c>
      <x:c r="U127" s="54" t="n">
        <x:v>46041</x:v>
      </x:c>
      <x:c r="V127" s="54" t="n">
        <x:v>46066</x:v>
      </x:c>
      <x:c r="W127" s="54" t="n">
        <x:v>46041</x:v>
      </x:c>
      <x:c r="X127" s="54" t="n">
        <x:v>46066</x:v>
      </x:c>
      <x:c r="Y127" s="78" t="n">
        <x:v>0</x:v>
      </x:c>
    </x:row>
    <x:row r="128" ht="21" customHeight="1">
      <x:c r="A128" t="str">
        <x:v>P04-A13</x:v>
      </x:c>
      <x:c r="B128" t="str">
        <x:v>P04</x:v>
      </x:c>
      <x:c r="C128" t="str">
        <x:v>Coating Cure Time</x:v>
      </x:c>
      <x:c r="D128" t="str">
        <x:v>1.04.4.1</x:v>
      </x:c>
      <x:c r="E128" s="54" t="n">
        <x:v>46069</x:v>
      </x:c>
      <x:c r="F128" s="54" t="n">
        <x:v>46080</x:v>
      </x:c>
      <x:c r="G128" s="54"/>
      <x:c r="H128" s="54"/>
      <x:c r="I128" s="54"/>
      <x:c r="J128" s="54"/>
      <x:c r="K128" t="n">
        <x:v>10</x:v>
      </x:c>
      <x:c r="L128" t="str">
        <x:v>P04-A12</x:v>
      </x:c>
      <x:c r="M128"/>
      <x:c r="N128" s="21" t="b">
        <x:v>0</x:v>
      </x:c>
      <x:c r="O128" s="21" t="b">
        <x:v>1</x:v>
      </x:c>
      <x:c r="P128" t="str">
        <x:v>P04-CA04</x:v>
      </x:c>
      <x:c r="Q128" t="str">
        <x:v>P04-WP041</x:v>
      </x:c>
      <x:c r="R128" t="str">
        <x:v>Task</x:v>
      </x:c>
      <x:c r="S128" t="str">
        <x:v>Synthetic project-specific planning assumption</x:v>
      </x:c>
      <x:c r="T128" t="str">
        <x:v>Source-derived / reconstructed network</x:v>
      </x:c>
      <x:c r="U128" s="54" t="n">
        <x:v>46069</x:v>
      </x:c>
      <x:c r="V128" s="54" t="n">
        <x:v>46080</x:v>
      </x:c>
      <x:c r="W128" s="54" t="n">
        <x:v>46069</x:v>
      </x:c>
      <x:c r="X128" s="54" t="n">
        <x:v>46080</x:v>
      </x:c>
      <x:c r="Y128" s="78" t="n">
        <x:v>0</x:v>
      </x:c>
    </x:row>
    <x:row r="129" ht="21" customHeight="1">
      <x:c r="A129" t="str">
        <x:v>P04-A14</x:v>
      </x:c>
      <x:c r="B129" t="str">
        <x:v>P04</x:v>
      </x:c>
      <x:c r="C129" t="str">
        <x:v>Refill &amp; Disinfection</x:v>
      </x:c>
      <x:c r="D129" t="str">
        <x:v>1.04.4.1</x:v>
      </x:c>
      <x:c r="E129" s="54" t="n">
        <x:v>46083</x:v>
      </x:c>
      <x:c r="F129" s="54" t="n">
        <x:v>46087</x:v>
      </x:c>
      <x:c r="G129" s="54"/>
      <x:c r="H129" s="54"/>
      <x:c r="I129" s="54"/>
      <x:c r="J129" s="54"/>
      <x:c r="K129" t="n">
        <x:v>5</x:v>
      </x:c>
      <x:c r="L129" t="str">
        <x:v>P04-A13</x:v>
      </x:c>
      <x:c r="M129"/>
      <x:c r="N129" s="21" t="b">
        <x:v>0</x:v>
      </x:c>
      <x:c r="O129" s="21" t="b">
        <x:v>1</x:v>
      </x:c>
      <x:c r="P129" t="str">
        <x:v>P04-CA04</x:v>
      </x:c>
      <x:c r="Q129" t="str">
        <x:v>P04-WP041</x:v>
      </x:c>
      <x:c r="R129" t="str">
        <x:v>Task</x:v>
      </x:c>
      <x:c r="S129" t="str">
        <x:v>Project-type realism</x:v>
      </x:c>
      <x:c r="T129" t="str">
        <x:v>Source-derived / reconstructed network</x:v>
      </x:c>
      <x:c r="U129" s="54" t="n">
        <x:v>46083</x:v>
      </x:c>
      <x:c r="V129" s="54" t="n">
        <x:v>46087</x:v>
      </x:c>
      <x:c r="W129" s="54" t="n">
        <x:v>46083</x:v>
      </x:c>
      <x:c r="X129" s="54" t="n">
        <x:v>46087</x:v>
      </x:c>
      <x:c r="Y129" s="78" t="n">
        <x:v>0</x:v>
      </x:c>
    </x:row>
    <x:row r="130" ht="21" customHeight="1">
      <x:c r="A130" t="str">
        <x:v>P04-A15</x:v>
      </x:c>
      <x:c r="B130" t="str">
        <x:v>P04</x:v>
      </x:c>
      <x:c r="C130" t="str">
        <x:v>Bacteriological Sampling &amp; Regulatory Clearance</x:v>
      </x:c>
      <x:c r="D130" t="str">
        <x:v>1.04.2.2</x:v>
      </x:c>
      <x:c r="E130" s="54" t="n">
        <x:v>46090</x:v>
      </x:c>
      <x:c r="F130" s="54" t="n">
        <x:v>46094</x:v>
      </x:c>
      <x:c r="G130" s="54"/>
      <x:c r="H130" s="54"/>
      <x:c r="I130" s="54"/>
      <x:c r="J130" s="54"/>
      <x:c r="K130" t="n">
        <x:v>5</x:v>
      </x:c>
      <x:c r="L130" t="str">
        <x:v>P04-A14</x:v>
      </x:c>
      <x:c r="M130"/>
      <x:c r="N130" s="21" t="b">
        <x:v>0</x:v>
      </x:c>
      <x:c r="O130" s="21" t="b">
        <x:v>1</x:v>
      </x:c>
      <x:c r="P130" t="str">
        <x:v>P04-CA02</x:v>
      </x:c>
      <x:c r="Q130" t="str">
        <x:v>P04-WP022</x:v>
      </x:c>
      <x:c r="R130" t="str">
        <x:v>Task</x:v>
      </x:c>
      <x:c r="S130" t="str">
        <x:v>Project-type realism</x:v>
      </x:c>
      <x:c r="T130" t="str">
        <x:v>Source-derived / reconstructed network</x:v>
      </x:c>
      <x:c r="U130" s="54" t="n">
        <x:v>46090</x:v>
      </x:c>
      <x:c r="V130" s="54" t="n">
        <x:v>46094</x:v>
      </x:c>
      <x:c r="W130" s="54" t="n">
        <x:v>46090</x:v>
      </x:c>
      <x:c r="X130" s="54" t="n">
        <x:v>46094</x:v>
      </x:c>
      <x:c r="Y130" s="78" t="n">
        <x:v>0</x:v>
      </x:c>
    </x:row>
    <x:row r="131" ht="21" customHeight="1">
      <x:c r="A131" t="str">
        <x:v>P04-M5</x:v>
      </x:c>
      <x:c r="B131" t="str">
        <x:v>P04</x:v>
      </x:c>
      <x:c r="C131" t="str">
        <x:v>Major Process Equipment Delivered</x:v>
      </x:c>
      <x:c r="D131" t="str">
        <x:v>1.04.4.1</x:v>
      </x:c>
      <x:c r="E131" s="54" t="n">
        <x:v>46094</x:v>
      </x:c>
      <x:c r="F131" s="54" t="n">
        <x:v>46094</x:v>
      </x:c>
      <x:c r="G131" s="54"/>
      <x:c r="H131" s="54"/>
      <x:c r="I131" s="54"/>
      <x:c r="J131" s="54"/>
      <x:c r="K131" t="n">
        <x:v>0</x:v>
      </x:c>
      <x:c r="L131" t="str">
        <x:v>P04-A15</x:v>
      </x:c>
      <x:c r="M131"/>
      <x:c r="N131" s="21" t="b">
        <x:v>1</x:v>
      </x:c>
      <x:c r="O131" s="21" t="b">
        <x:v>0</x:v>
      </x:c>
      <x:c r="P131" t="str">
        <x:v>P04-CA04</x:v>
      </x:c>
      <x:c r="Q131" t="str">
        <x:v>P04-WP041</x:v>
      </x:c>
      <x:c r="R131" t="str">
        <x:v>Milestone</x:v>
      </x:c>
      <x:c r="S131" t="str">
        <x:v>Approved milestone / interface milestone</x:v>
      </x:c>
      <x:c r="T131" t="str">
        <x:v>Source-explicit milestone date</x:v>
      </x:c>
      <x:c r="U131" s="54" t="n">
        <x:v>46094</x:v>
      </x:c>
      <x:c r="V131" s="54" t="n">
        <x:v>46094</x:v>
      </x:c>
      <x:c r="W131" s="54" t="n">
        <x:v>46136</x:v>
      </x:c>
      <x:c r="X131" s="54" t="n">
        <x:v>46136</x:v>
      </x:c>
      <x:c r="Y131" s="78" t="n">
        <x:v>30</x:v>
      </x:c>
    </x:row>
    <x:row r="132" ht="21" customHeight="1">
      <x:c r="A132" t="str">
        <x:v>P04-A16</x:v>
      </x:c>
      <x:c r="B132" t="str">
        <x:v>P04</x:v>
      </x:c>
      <x:c r="C132" t="str">
        <x:v>Final Inspection &amp; Punch List</x:v>
      </x:c>
      <x:c r="D132" t="str">
        <x:v>1.04.4.1</x:v>
      </x:c>
      <x:c r="E132" s="54" t="n">
        <x:v>46097</x:v>
      </x:c>
      <x:c r="F132" s="54" t="n">
        <x:v>46108</x:v>
      </x:c>
      <x:c r="G132" s="54"/>
      <x:c r="H132" s="54"/>
      <x:c r="I132" s="54"/>
      <x:c r="J132" s="54"/>
      <x:c r="K132" t="n">
        <x:v>10</x:v>
      </x:c>
      <x:c r="L132" t="str">
        <x:v>P04-A15</x:v>
      </x:c>
      <x:c r="M132"/>
      <x:c r="N132" s="21" t="b">
        <x:v>0</x:v>
      </x:c>
      <x:c r="O132" s="21" t="b">
        <x:v>1</x:v>
      </x:c>
      <x:c r="P132" t="str">
        <x:v>P04-CA04</x:v>
      </x:c>
      <x:c r="Q132" t="str">
        <x:v>P04-WP041</x:v>
      </x:c>
      <x:c r="R132" t="str">
        <x:v>Task</x:v>
      </x:c>
      <x:c r="S132" t="str">
        <x:v>Project-type realism</x:v>
      </x:c>
      <x:c r="T132" t="str">
        <x:v>Source-derived / reconstructed network</x:v>
      </x:c>
      <x:c r="U132" s="54" t="n">
        <x:v>46097</x:v>
      </x:c>
      <x:c r="V132" s="54" t="n">
        <x:v>46108</x:v>
      </x:c>
      <x:c r="W132" s="54" t="n">
        <x:v>46097</x:v>
      </x:c>
      <x:c r="X132" s="54" t="n">
        <x:v>46108</x:v>
      </x:c>
      <x:c r="Y132" s="78" t="n">
        <x:v>0</x:v>
      </x:c>
    </x:row>
    <x:row r="133" ht="21" customHeight="1">
      <x:c r="A133" t="str">
        <x:v>P04-M3</x:v>
      </x:c>
      <x:c r="B133" t="str">
        <x:v>P04</x:v>
      </x:c>
      <x:c r="C133" t="str">
        <x:v>Substantial Completion</x:v>
      </x:c>
      <x:c r="D133" t="str">
        <x:v>1.04.4.1</x:v>
      </x:c>
      <x:c r="E133" s="54" t="n">
        <x:v>46108</x:v>
      </x:c>
      <x:c r="F133" s="54" t="n">
        <x:v>46108</x:v>
      </x:c>
      <x:c r="G133" s="54"/>
      <x:c r="H133" s="54"/>
      <x:c r="I133" s="54"/>
      <x:c r="J133" s="54"/>
      <x:c r="K133" t="n">
        <x:v>0</x:v>
      </x:c>
      <x:c r="L133" t="str">
        <x:v>P04-A16</x:v>
      </x:c>
      <x:c r="M133"/>
      <x:c r="N133" s="21" t="b">
        <x:v>1</x:v>
      </x:c>
      <x:c r="O133" s="21" t="b">
        <x:v>0</x:v>
      </x:c>
      <x:c r="P133" t="str">
        <x:v>P04-CA04</x:v>
      </x:c>
      <x:c r="Q133" t="str">
        <x:v>P04-WP041</x:v>
      </x:c>
      <x:c r="R133" t="str">
        <x:v>Milestone</x:v>
      </x:c>
      <x:c r="S133" t="str">
        <x:v>Approved milestone / interface milestone</x:v>
      </x:c>
      <x:c r="T133" t="str">
        <x:v>Source-explicit milestone date</x:v>
      </x:c>
      <x:c r="U133" s="54" t="n">
        <x:v>46108</x:v>
      </x:c>
      <x:c r="V133" s="54" t="n">
        <x:v>46108</x:v>
      </x:c>
      <x:c r="W133" s="54" t="n">
        <x:v>46136</x:v>
      </x:c>
      <x:c r="X133" s="54" t="n">
        <x:v>46136</x:v>
      </x:c>
      <x:c r="Y133" s="78" t="n">
        <x:v>20</x:v>
      </x:c>
    </x:row>
    <x:row r="134" ht="21" customHeight="1">
      <x:c r="A134" t="str">
        <x:v>P04-A17</x:v>
      </x:c>
      <x:c r="B134" t="str">
        <x:v>P04</x:v>
      </x:c>
      <x:c r="C134" t="str">
        <x:v>Documentation &amp; Turnover</x:v>
      </x:c>
      <x:c r="D134" t="str">
        <x:v>1.04.6.1</x:v>
      </x:c>
      <x:c r="E134" s="54" t="n">
        <x:v>46111</x:v>
      </x:c>
      <x:c r="F134" s="54" t="n">
        <x:v>46122</x:v>
      </x:c>
      <x:c r="G134" s="54"/>
      <x:c r="H134" s="54"/>
      <x:c r="I134" s="54"/>
      <x:c r="J134" s="54"/>
      <x:c r="K134" t="n">
        <x:v>10</x:v>
      </x:c>
      <x:c r="L134" t="str">
        <x:v>P04-A16</x:v>
      </x:c>
      <x:c r="M134"/>
      <x:c r="N134" s="21" t="b">
        <x:v>0</x:v>
      </x:c>
      <x:c r="O134" s="21" t="b">
        <x:v>1</x:v>
      </x:c>
      <x:c r="P134" t="str">
        <x:v>P04-CA06</x:v>
      </x:c>
      <x:c r="Q134" t="str">
        <x:v>P04-WP061</x:v>
      </x:c>
      <x:c r="R134" t="str">
        <x:v>Task</x:v>
      </x:c>
      <x:c r="S134" t="str">
        <x:v>Project-type realism</x:v>
      </x:c>
      <x:c r="T134" t="str">
        <x:v>Source-derived / reconstructed network</x:v>
      </x:c>
      <x:c r="U134" s="54" t="n">
        <x:v>46111</x:v>
      </x:c>
      <x:c r="V134" s="54" t="n">
        <x:v>46122</x:v>
      </x:c>
      <x:c r="W134" s="54" t="n">
        <x:v>46111</x:v>
      </x:c>
      <x:c r="X134" s="54" t="n">
        <x:v>46122</x:v>
      </x:c>
      <x:c r="Y134" s="78" t="n">
        <x:v>0</x:v>
      </x:c>
    </x:row>
    <x:row r="135" ht="21" customHeight="1">
      <x:c r="A135" t="str">
        <x:v>P04-A18</x:v>
      </x:c>
      <x:c r="B135" t="str">
        <x:v>P04</x:v>
      </x:c>
      <x:c r="C135" t="str">
        <x:v>Financial Closeout</x:v>
      </x:c>
      <x:c r="D135" t="str">
        <x:v>1.04.6.2</x:v>
      </x:c>
      <x:c r="E135" s="54" t="n">
        <x:v>46118</x:v>
      </x:c>
      <x:c r="F135" s="54" t="n">
        <x:v>46136</x:v>
      </x:c>
      <x:c r="G135" s="54"/>
      <x:c r="H135" s="54"/>
      <x:c r="I135" s="54"/>
      <x:c r="J135" s="54"/>
      <x:c r="K135" t="n">
        <x:v>15</x:v>
      </x:c>
      <x:c r="L135" t="str">
        <x:v>P04-A17, P04-A16</x:v>
      </x:c>
      <x:c r="M135"/>
      <x:c r="N135" s="21" t="b">
        <x:v>0</x:v>
      </x:c>
      <x:c r="O135" s="21" t="b">
        <x:v>1</x:v>
      </x:c>
      <x:c r="P135" t="str">
        <x:v>P04-CA06</x:v>
      </x:c>
      <x:c r="Q135" t="str">
        <x:v>P04-WP062</x:v>
      </x:c>
      <x:c r="R135" t="str">
        <x:v>Task</x:v>
      </x:c>
      <x:c r="S135" t="str">
        <x:v>Project-type realism</x:v>
      </x:c>
      <x:c r="T135" t="str">
        <x:v>Recovered from approved P04 M3/M4 dates + SS+5 closeout overlap</x:v>
      </x:c>
      <x:c r="U135" s="54" t="n">
        <x:v>46118</x:v>
      </x:c>
      <x:c r="V135" s="54" t="n">
        <x:v>46136</x:v>
      </x:c>
      <x:c r="W135" s="54" t="n">
        <x:v>46118</x:v>
      </x:c>
      <x:c r="X135" s="54" t="n">
        <x:v>46136</x:v>
      </x:c>
      <x:c r="Y135" s="78" t="n">
        <x:v>0</x:v>
      </x:c>
    </x:row>
    <x:row r="136" ht="21" customHeight="1">
      <x:c r="A136" t="str">
        <x:v>P04-M4</x:v>
      </x:c>
      <x:c r="B136" t="str">
        <x:v>P04</x:v>
      </x:c>
      <x:c r="C136" t="str">
        <x:v>Final Completion</x:v>
      </x:c>
      <x:c r="D136" t="str">
        <x:v>1.04.4.1</x:v>
      </x:c>
      <x:c r="E136" s="54" t="n">
        <x:v>46136</x:v>
      </x:c>
      <x:c r="F136" s="54" t="n">
        <x:v>46136</x:v>
      </x:c>
      <x:c r="G136" s="54"/>
      <x:c r="H136" s="54"/>
      <x:c r="I136" s="54"/>
      <x:c r="J136" s="54"/>
      <x:c r="K136" t="n">
        <x:v>0</x:v>
      </x:c>
      <x:c r="L136" t="str">
        <x:v>P04-A18</x:v>
      </x:c>
      <x:c r="M136"/>
      <x:c r="N136" s="21" t="b">
        <x:v>1</x:v>
      </x:c>
      <x:c r="O136" s="21" t="b">
        <x:v>1</x:v>
      </x:c>
      <x:c r="P136" t="str">
        <x:v>P04-CA04</x:v>
      </x:c>
      <x:c r="Q136" t="str">
        <x:v>P04-WP041</x:v>
      </x:c>
      <x:c r="R136" t="str">
        <x:v>Milestone</x:v>
      </x:c>
      <x:c r="S136" t="str">
        <x:v>Approved milestone / interface milestone</x:v>
      </x:c>
      <x:c r="T136" t="str">
        <x:v>Source-explicit milestone date</x:v>
      </x:c>
      <x:c r="U136" s="54" t="n">
        <x:v>46136</x:v>
      </x:c>
      <x:c r="V136" s="54" t="n">
        <x:v>46136</x:v>
      </x:c>
      <x:c r="W136" s="54" t="n">
        <x:v>46136</x:v>
      </x:c>
      <x:c r="X136" s="54" t="n">
        <x:v>46136</x:v>
      </x:c>
      <x:c r="Y136" s="78" t="n">
        <x:v>0</x:v>
      </x:c>
    </x:row>
    <x:row r="137" ht="21" customHeight="1">
      <x:c r="A137" t="str">
        <x:v>P05-A1</x:v>
      </x:c>
      <x:c r="B137" t="str">
        <x:v>P05</x:v>
      </x:c>
      <x:c r="C137" t="str">
        <x:v>Lead Service Line Inventory Review &amp; Prioritization</x:v>
      </x:c>
      <x:c r="D137" t="str">
        <x:v>1.05.1.1</x:v>
      </x:c>
      <x:c r="E137" s="54" t="n">
        <x:v>45719</x:v>
      </x:c>
      <x:c r="F137" s="54" t="n">
        <x:v>45737</x:v>
      </x:c>
      <x:c r="G137" s="54"/>
      <x:c r="H137" s="54"/>
      <x:c r="I137" s="54"/>
      <x:c r="J137" s="54"/>
      <x:c r="K137" t="n">
        <x:v>15</x:v>
      </x:c>
      <x:c r="L137" t="str"/>
      <x:c r="M137"/>
      <x:c r="N137" s="21" t="b">
        <x:v>0</x:v>
      </x:c>
      <x:c r="O137" s="21" t="b">
        <x:v>1</x:v>
      </x:c>
      <x:c r="P137" t="str">
        <x:v>P05-CA01</x:v>
      </x:c>
      <x:c r="Q137" t="str">
        <x:v>P05-WP011</x:v>
      </x:c>
      <x:c r="R137" t="str">
        <x:v>Task</x:v>
      </x:c>
      <x:c r="S137" t="str">
        <x:v>Project-type realism</x:v>
      </x:c>
      <x:c r="T137" t="str">
        <x:v>Source-derived / reconstructed network</x:v>
      </x:c>
      <x:c r="U137" s="54" t="n">
        <x:v>45719</x:v>
      </x:c>
      <x:c r="V137" s="54" t="n">
        <x:v>45737</x:v>
      </x:c>
      <x:c r="W137" s="54" t="n">
        <x:v>45719</x:v>
      </x:c>
      <x:c r="X137" s="54" t="n">
        <x:v>45737</x:v>
      </x:c>
      <x:c r="Y137" s="78" t="n">
        <x:v>0</x:v>
      </x:c>
    </x:row>
    <x:row r="138" ht="21" customHeight="1">
      <x:c r="A138" t="str">
        <x:v>P05-A2</x:v>
      </x:c>
      <x:c r="B138" t="str">
        <x:v>P05</x:v>
      </x:c>
      <x:c r="C138" t="str">
        <x:v>Project Definition &amp; Zone/Batch Plan Development</x:v>
      </x:c>
      <x:c r="D138" t="str">
        <x:v>1.05.1.2</x:v>
      </x:c>
      <x:c r="E138" s="54" t="n">
        <x:v>45740</x:v>
      </x:c>
      <x:c r="F138" s="54" t="n">
        <x:v>45751</x:v>
      </x:c>
      <x:c r="G138" s="54"/>
      <x:c r="H138" s="54"/>
      <x:c r="I138" s="54"/>
      <x:c r="J138" s="54"/>
      <x:c r="K138" t="n">
        <x:v>10</x:v>
      </x:c>
      <x:c r="L138" t="str">
        <x:v>P05-A1</x:v>
      </x:c>
      <x:c r="M138"/>
      <x:c r="N138" s="21" t="b">
        <x:v>0</x:v>
      </x:c>
      <x:c r="O138" s="21" t="b">
        <x:v>1</x:v>
      </x:c>
      <x:c r="P138" t="str">
        <x:v>P05-CA01</x:v>
      </x:c>
      <x:c r="Q138" t="str">
        <x:v>P05-WP012</x:v>
      </x:c>
      <x:c r="R138" t="str">
        <x:v>Task</x:v>
      </x:c>
      <x:c r="S138" t="str">
        <x:v>Project-type realism</x:v>
      </x:c>
      <x:c r="T138" t="str">
        <x:v>Source-derived / reconstructed network</x:v>
      </x:c>
      <x:c r="U138" s="54" t="n">
        <x:v>45740</x:v>
      </x:c>
      <x:c r="V138" s="54" t="n">
        <x:v>45751</x:v>
      </x:c>
      <x:c r="W138" s="54" t="n">
        <x:v>45740</x:v>
      </x:c>
      <x:c r="X138" s="54" t="n">
        <x:v>45751</x:v>
      </x:c>
      <x:c r="Y138" s="78" t="n">
        <x:v>0</x:v>
      </x:c>
    </x:row>
    <x:row r="139" ht="21" customHeight="1">
      <x:c r="A139" t="str">
        <x:v>P05-A3</x:v>
      </x:c>
      <x:c r="B139" t="str">
        <x:v>P05</x:v>
      </x:c>
      <x:c r="C139" t="str">
        <x:v>Preliminary Design — Typical Replacement Details &amp; Specs (30%)</x:v>
      </x:c>
      <x:c r="D139" t="str">
        <x:v>1.05.2.1</x:v>
      </x:c>
      <x:c r="E139" s="54" t="n">
        <x:v>45754</x:v>
      </x:c>
      <x:c r="F139" s="54" t="n">
        <x:v>45772</x:v>
      </x:c>
      <x:c r="G139" s="54"/>
      <x:c r="H139" s="54"/>
      <x:c r="I139" s="54"/>
      <x:c r="J139" s="54"/>
      <x:c r="K139" t="n">
        <x:v>15</x:v>
      </x:c>
      <x:c r="L139" t="str">
        <x:v>P05-A2</x:v>
      </x:c>
      <x:c r="M139"/>
      <x:c r="N139" s="21" t="b">
        <x:v>0</x:v>
      </x:c>
      <x:c r="O139" s="21" t="b">
        <x:v>1</x:v>
      </x:c>
      <x:c r="P139" t="str">
        <x:v>P05-CA02</x:v>
      </x:c>
      <x:c r="Q139" t="str">
        <x:v>P05-WP021</x:v>
      </x:c>
      <x:c r="R139" t="str">
        <x:v>Task</x:v>
      </x:c>
      <x:c r="S139" t="str">
        <x:v>Project-type realism</x:v>
      </x:c>
      <x:c r="T139" t="str">
        <x:v>Source-derived / reconstructed network</x:v>
      </x:c>
      <x:c r="U139" s="54" t="n">
        <x:v>45754</x:v>
      </x:c>
      <x:c r="V139" s="54" t="n">
        <x:v>45772</x:v>
      </x:c>
      <x:c r="W139" s="54" t="n">
        <x:v>45754</x:v>
      </x:c>
      <x:c r="X139" s="54" t="n">
        <x:v>45772</x:v>
      </x:c>
      <x:c r="Y139" s="78" t="n">
        <x:v>0</x:v>
      </x:c>
    </x:row>
    <x:row r="140" ht="21" customHeight="1">
      <x:c r="A140" t="str">
        <x:v>P05-A4</x:v>
      </x:c>
      <x:c r="B140" t="str">
        <x:v>P05</x:v>
      </x:c>
      <x:c r="C140" t="str">
        <x:v>Final Design — Standard Specs &amp; Bid Documents (100%)</x:v>
      </x:c>
      <x:c r="D140" t="str">
        <x:v>1.05.2.2</x:v>
      </x:c>
      <x:c r="E140" s="54" t="n">
        <x:v>45782</x:v>
      </x:c>
      <x:c r="F140" s="54" t="n">
        <x:v>45800</x:v>
      </x:c>
      <x:c r="G140" s="54"/>
      <x:c r="H140" s="54"/>
      <x:c r="I140" s="54"/>
      <x:c r="J140" s="54"/>
      <x:c r="K140" t="n">
        <x:v>15</x:v>
      </x:c>
      <x:c r="L140" t="str">
        <x:v>P05-A3</x:v>
      </x:c>
      <x:c r="M140"/>
      <x:c r="N140" s="21" t="b">
        <x:v>0</x:v>
      </x:c>
      <x:c r="O140" s="21" t="b">
        <x:v>1</x:v>
      </x:c>
      <x:c r="P140" t="str">
        <x:v>P05-CA02</x:v>
      </x:c>
      <x:c r="Q140" t="str">
        <x:v>P05-WP022</x:v>
      </x:c>
      <x:c r="R140" t="str">
        <x:v>Task</x:v>
      </x:c>
      <x:c r="S140" t="str">
        <x:v>Project-type realism; +5bd review lag in logic</x:v>
      </x:c>
      <x:c r="T140" t="str">
        <x:v>Source-derived / reconstructed network</x:v>
      </x:c>
      <x:c r="U140" s="54" t="n">
        <x:v>45782</x:v>
      </x:c>
      <x:c r="V140" s="54" t="n">
        <x:v>45800</x:v>
      </x:c>
      <x:c r="W140" s="54" t="n">
        <x:v>45782</x:v>
      </x:c>
      <x:c r="X140" s="54" t="n">
        <x:v>45800</x:v>
      </x:c>
      <x:c r="Y140" s="78" t="n">
        <x:v>0</x:v>
      </x:c>
    </x:row>
    <x:row r="141" ht="21" customHeight="1">
      <x:c r="A141" t="str">
        <x:v>P05-A5</x:v>
      </x:c>
      <x:c r="B141" t="str">
        <x:v>P05</x:v>
      </x:c>
      <x:c r="C141" t="str">
        <x:v>Bid Advertisement</x:v>
      </x:c>
      <x:c r="D141" t="str">
        <x:v>1.05.3.1</x:v>
      </x:c>
      <x:c r="E141" s="54" t="n">
        <x:v>45796</x:v>
      </x:c>
      <x:c r="F141" s="54" t="n">
        <x:v>45814</x:v>
      </x:c>
      <x:c r="G141" s="54"/>
      <x:c r="H141" s="54"/>
      <x:c r="I141" s="54"/>
      <x:c r="J141" s="54"/>
      <x:c r="K141" t="n">
        <x:v>15</x:v>
      </x:c>
      <x:c r="L141" t="str">
        <x:v>P05-A4</x:v>
      </x:c>
      <x:c r="M141"/>
      <x:c r="N141" s="21" t="b">
        <x:v>0</x:v>
      </x:c>
      <x:c r="O141" s="21" t="b">
        <x:v>1</x:v>
      </x:c>
      <x:c r="P141" t="str">
        <x:v>P05-CA03</x:v>
      </x:c>
      <x:c r="Q141" t="str">
        <x:v>P05-WP031</x:v>
      </x:c>
      <x:c r="R141" t="str">
        <x:v>Task</x:v>
      </x:c>
      <x:c r="S141" t="str">
        <x:v>Project-type realism</x:v>
      </x:c>
      <x:c r="T141" t="str">
        <x:v>Source-derived / reconstructed network</x:v>
      </x:c>
      <x:c r="U141" s="54" t="n">
        <x:v>45796</x:v>
      </x:c>
      <x:c r="V141" s="54" t="n">
        <x:v>45814</x:v>
      </x:c>
      <x:c r="W141" s="54" t="n">
        <x:v>45796</x:v>
      </x:c>
      <x:c r="X141" s="54" t="n">
        <x:v>45814</x:v>
      </x:c>
      <x:c r="Y141" s="78" t="n">
        <x:v>0</x:v>
      </x:c>
    </x:row>
    <x:row r="142" ht="21" customHeight="1">
      <x:c r="A142" t="str">
        <x:v>P05-M1</x:v>
      </x:c>
      <x:c r="B142" t="str">
        <x:v>P05</x:v>
      </x:c>
      <x:c r="C142" t="str">
        <x:v>Design Complete</x:v>
      </x:c>
      <x:c r="D142" t="str">
        <x:v>1.05.4.1</x:v>
      </x:c>
      <x:c r="E142" s="54" t="n">
        <x:v>45800</x:v>
      </x:c>
      <x:c r="F142" s="54" t="n">
        <x:v>45800</x:v>
      </x:c>
      <x:c r="G142" s="54"/>
      <x:c r="H142" s="54"/>
      <x:c r="I142" s="54"/>
      <x:c r="J142" s="54"/>
      <x:c r="K142" t="n">
        <x:v>0</x:v>
      </x:c>
      <x:c r="L142" t="str">
        <x:v>P05-A4</x:v>
      </x:c>
      <x:c r="M142"/>
      <x:c r="N142" s="21" t="b">
        <x:v>1</x:v>
      </x:c>
      <x:c r="O142" s="21" t="b">
        <x:v>0</x:v>
      </x:c>
      <x:c r="P142" t="str">
        <x:v>P05-CA04</x:v>
      </x:c>
      <x:c r="Q142" t="str">
        <x:v>P05-WP041</x:v>
      </x:c>
      <x:c r="R142" t="str">
        <x:v>Milestone</x:v>
      </x:c>
      <x:c r="S142" t="str">
        <x:v>Approved milestone / interface milestone</x:v>
      </x:c>
      <x:c r="T142" t="str">
        <x:v>Source-explicit milestone date</x:v>
      </x:c>
      <x:c r="U142" s="54" t="n">
        <x:v>45800</x:v>
      </x:c>
      <x:c r="V142" s="54" t="n">
        <x:v>45800</x:v>
      </x:c>
      <x:c r="W142" s="54" t="n">
        <x:v>46157</x:v>
      </x:c>
      <x:c r="X142" s="54" t="n">
        <x:v>46157</x:v>
      </x:c>
      <x:c r="Y142" s="78" t="n">
        <x:v>255</x:v>
      </x:c>
    </x:row>
    <x:row r="143" ht="21" customHeight="1">
      <x:c r="A143" t="str">
        <x:v>P05-A4b</x:v>
      </x:c>
      <x:c r="B143" t="str">
        <x:v>P05</x:v>
      </x:c>
      <x:c r="C143" t="str">
        <x:v>Regulatory Plan Review &amp; Approval</x:v>
      </x:c>
      <x:c r="D143" t="str">
        <x:v>1.05.2.2</x:v>
      </x:c>
      <x:c r="E143" s="54" t="n">
        <x:v>45803</x:v>
      </x:c>
      <x:c r="F143" s="54" t="n">
        <x:v>45821</x:v>
      </x:c>
      <x:c r="G143" s="54"/>
      <x:c r="H143" s="54"/>
      <x:c r="I143" s="54"/>
      <x:c r="J143" s="54"/>
      <x:c r="K143" t="n">
        <x:v>15</x:v>
      </x:c>
      <x:c r="L143" t="str">
        <x:v>P05-A4</x:v>
      </x:c>
      <x:c r="M143"/>
      <x:c r="N143" s="21" t="b">
        <x:v>0</x:v>
      </x:c>
      <x:c r="O143" s="21" t="b">
        <x:v>0</x:v>
      </x:c>
      <x:c r="P143" t="str">
        <x:v>P05-CA02</x:v>
      </x:c>
      <x:c r="Q143" t="str">
        <x:v>P05-WP022</x:v>
      </x:c>
      <x:c r="R143" t="str">
        <x:v>Task</x:v>
      </x:c>
      <x:c r="S143" t="str">
        <x:v>Project-type realism</x:v>
      </x:c>
      <x:c r="T143" t="str">
        <x:v>Source-derived / reconstructed network</x:v>
      </x:c>
      <x:c r="U143" s="54" t="n">
        <x:v>45803</x:v>
      </x:c>
      <x:c r="V143" s="54" t="n">
        <x:v>45821</x:v>
      </x:c>
      <x:c r="W143" s="54" t="n">
        <x:v>45831</x:v>
      </x:c>
      <x:c r="X143" s="54" t="n">
        <x:v>45849</x:v>
      </x:c>
      <x:c r="Y143" s="78" t="n">
        <x:v>20</x:v>
      </x:c>
    </x:row>
    <x:row r="144" ht="21" customHeight="1">
      <x:c r="A144" t="str">
        <x:v>P05-A5b</x:v>
      </x:c>
      <x:c r="B144" t="str">
        <x:v>P05</x:v>
      </x:c>
      <x:c r="C144" t="str">
        <x:v>Evaluation &amp; Award Recommendation</x:v>
      </x:c>
      <x:c r="D144" t="str">
        <x:v>1.05.3.1</x:v>
      </x:c>
      <x:c r="E144" s="54" t="n">
        <x:v>45817</x:v>
      </x:c>
      <x:c r="F144" s="54" t="n">
        <x:v>45828</x:v>
      </x:c>
      <x:c r="G144" s="54"/>
      <x:c r="H144" s="54"/>
      <x:c r="I144" s="54"/>
      <x:c r="J144" s="54"/>
      <x:c r="K144" t="n">
        <x:v>10</x:v>
      </x:c>
      <x:c r="L144" t="str">
        <x:v>P05-A5</x:v>
      </x:c>
      <x:c r="M144"/>
      <x:c r="N144" s="21" t="b">
        <x:v>0</x:v>
      </x:c>
      <x:c r="O144" s="21" t="b">
        <x:v>1</x:v>
      </x:c>
      <x:c r="P144" t="str">
        <x:v>P05-CA03</x:v>
      </x:c>
      <x:c r="Q144" t="str">
        <x:v>P05-WP031</x:v>
      </x:c>
      <x:c r="R144" t="str">
        <x:v>Task</x:v>
      </x:c>
      <x:c r="S144" t="str">
        <x:v>Project-type realism</x:v>
      </x:c>
      <x:c r="T144" t="str">
        <x:v>Source-derived / reconstructed network</x:v>
      </x:c>
      <x:c r="U144" s="54" t="n">
        <x:v>45817</x:v>
      </x:c>
      <x:c r="V144" s="54" t="n">
        <x:v>45828</x:v>
      </x:c>
      <x:c r="W144" s="54" t="n">
        <x:v>45817</x:v>
      </x:c>
      <x:c r="X144" s="54" t="n">
        <x:v>45828</x:v>
      </x:c>
      <x:c r="Y144" s="78" t="n">
        <x:v>0</x:v>
      </x:c>
    </x:row>
    <x:row r="145" ht="21" customHeight="1">
      <x:c r="A145" t="str">
        <x:v>P05-A5c</x:v>
      </x:c>
      <x:c r="B145" t="str">
        <x:v>P05</x:v>
      </x:c>
      <x:c r="C145" t="str">
        <x:v>Governing Body Approval</x:v>
      </x:c>
      <x:c r="D145" t="str">
        <x:v>1.05.3.2</x:v>
      </x:c>
      <x:c r="E145" s="54" t="n">
        <x:v>45831</x:v>
      </x:c>
      <x:c r="F145" s="54" t="n">
        <x:v>45842</x:v>
      </x:c>
      <x:c r="G145" s="54"/>
      <x:c r="H145" s="54"/>
      <x:c r="I145" s="54"/>
      <x:c r="J145" s="54"/>
      <x:c r="K145" t="n">
        <x:v>10</x:v>
      </x:c>
      <x:c r="L145" t="str">
        <x:v>P05-A5b</x:v>
      </x:c>
      <x:c r="M145"/>
      <x:c r="N145" s="21" t="b">
        <x:v>0</x:v>
      </x:c>
      <x:c r="O145" s="21" t="b">
        <x:v>1</x:v>
      </x:c>
      <x:c r="P145" t="str">
        <x:v>P05-CA03</x:v>
      </x:c>
      <x:c r="Q145" t="str">
        <x:v>P05-WP032</x:v>
      </x:c>
      <x:c r="R145" t="str">
        <x:v>Task</x:v>
      </x:c>
      <x:c r="S145" t="str">
        <x:v>Project-type realism</x:v>
      </x:c>
      <x:c r="T145" t="str">
        <x:v>Source-derived / reconstructed network</x:v>
      </x:c>
      <x:c r="U145" s="54" t="n">
        <x:v>45831</x:v>
      </x:c>
      <x:c r="V145" s="54" t="n">
        <x:v>45842</x:v>
      </x:c>
      <x:c r="W145" s="54" t="n">
        <x:v>45831</x:v>
      </x:c>
      <x:c r="X145" s="54" t="n">
        <x:v>45842</x:v>
      </x:c>
      <x:c r="Y145" s="78" t="n">
        <x:v>0</x:v>
      </x:c>
    </x:row>
    <x:row r="146" ht="21" customHeight="1">
      <x:c r="A146" t="str">
        <x:v>P05-M2</x:v>
      </x:c>
      <x:c r="B146" t="str">
        <x:v>P05</x:v>
      </x:c>
      <x:c r="C146" t="str">
        <x:v>Contract Award / NTP</x:v>
      </x:c>
      <x:c r="D146" t="str">
        <x:v>1.05.4.1</x:v>
      </x:c>
      <x:c r="E146" s="54" t="n">
        <x:v>45849</x:v>
      </x:c>
      <x:c r="F146" s="54" t="n">
        <x:v>45849</x:v>
      </x:c>
      <x:c r="G146" s="54"/>
      <x:c r="H146" s="54"/>
      <x:c r="I146" s="54"/>
      <x:c r="J146" s="54"/>
      <x:c r="K146" t="n">
        <x:v>0</x:v>
      </x:c>
      <x:c r="L146" t="str">
        <x:v>P05-A5c, P05-A4b</x:v>
      </x:c>
      <x:c r="M146"/>
      <x:c r="N146" s="21" t="b">
        <x:v>1</x:v>
      </x:c>
      <x:c r="O146" s="21" t="b">
        <x:v>1</x:v>
      </x:c>
      <x:c r="P146" t="str">
        <x:v>P05-CA04</x:v>
      </x:c>
      <x:c r="Q146" t="str">
        <x:v>P05-WP041</x:v>
      </x:c>
      <x:c r="R146" t="str">
        <x:v>Milestone</x:v>
      </x:c>
      <x:c r="S146" t="str">
        <x:v>Approved milestone / interface milestone</x:v>
      </x:c>
      <x:c r="T146" t="str">
        <x:v>Source-explicit milestone date</x:v>
      </x:c>
      <x:c r="U146" s="54" t="n">
        <x:v>45849</x:v>
      </x:c>
      <x:c r="V146" s="54" t="n">
        <x:v>45849</x:v>
      </x:c>
      <x:c r="W146" s="54" t="n">
        <x:v>45849</x:v>
      </x:c>
      <x:c r="X146" s="54" t="n">
        <x:v>45849</x:v>
      </x:c>
      <x:c r="Y146" s="78" t="n">
        <x:v>0</x:v>
      </x:c>
    </x:row>
    <x:row r="147" ht="21" customHeight="1">
      <x:c r="A147" t="str">
        <x:v>P05-A10</x:v>
      </x:c>
      <x:c r="B147" t="str">
        <x:v>P05</x:v>
      </x:c>
      <x:c r="C147" t="str">
        <x:v>Street Opening / Right-of-Way Permitting (program-wide)</x:v>
      </x:c>
      <x:c r="D147" t="str">
        <x:v>1.05.2.2</x:v>
      </x:c>
      <x:c r="E147" s="54" t="n">
        <x:v>45852</x:v>
      </x:c>
      <x:c r="F147" s="54" t="n">
        <x:v>45870</x:v>
      </x:c>
      <x:c r="G147" s="54"/>
      <x:c r="H147" s="54"/>
      <x:c r="I147" s="54"/>
      <x:c r="J147" s="54"/>
      <x:c r="K147" t="n">
        <x:v>15</x:v>
      </x:c>
      <x:c r="L147" t="str">
        <x:v>P05-M2</x:v>
      </x:c>
      <x:c r="M147"/>
      <x:c r="N147" s="21" t="b">
        <x:v>0</x:v>
      </x:c>
      <x:c r="O147" s="21" t="b">
        <x:v>0</x:v>
      </x:c>
      <x:c r="P147" t="str">
        <x:v>P05-CA02</x:v>
      </x:c>
      <x:c r="Q147" t="str">
        <x:v>P05-WP022</x:v>
      </x:c>
      <x:c r="R147" t="str">
        <x:v>Task</x:v>
      </x:c>
      <x:c r="S147" t="str">
        <x:v>Project-type realism</x:v>
      </x:c>
      <x:c r="T147" t="str">
        <x:v>Source-derived / reconstructed network</x:v>
      </x:c>
      <x:c r="U147" s="54" t="n">
        <x:v>45852</x:v>
      </x:c>
      <x:c r="V147" s="54" t="n">
        <x:v>45870</x:v>
      </x:c>
      <x:c r="W147" s="54" t="n">
        <x:v>45873</x:v>
      </x:c>
      <x:c r="X147" s="54" t="n">
        <x:v>45891</x:v>
      </x:c>
      <x:c r="Y147" s="78" t="n">
        <x:v>15</x:v>
      </x:c>
    </x:row>
    <x:row r="148" ht="21" customHeight="1">
      <x:c r="A148" t="str">
        <x:v>P05-A11</x:v>
      </x:c>
      <x:c r="B148" t="str">
        <x:v>P05</x:v>
      </x:c>
      <x:c r="C148" t="str">
        <x:v>Material Procurement — Copper Tubing &amp; Fittings</x:v>
      </x:c>
      <x:c r="D148" t="str">
        <x:v>1.05.3.2</x:v>
      </x:c>
      <x:c r="E148" s="54" t="n">
        <x:v>45852</x:v>
      </x:c>
      <x:c r="F148" s="54" t="n">
        <x:v>45891</x:v>
      </x:c>
      <x:c r="G148" s="54"/>
      <x:c r="H148" s="54"/>
      <x:c r="I148" s="54"/>
      <x:c r="J148" s="54"/>
      <x:c r="K148" t="n">
        <x:v>30</x:v>
      </x:c>
      <x:c r="L148" t="str">
        <x:v>P05-M2</x:v>
      </x:c>
      <x:c r="M148"/>
      <x:c r="N148" s="21" t="b">
        <x:v>0</x:v>
      </x:c>
      <x:c r="O148" s="21" t="b">
        <x:v>1</x:v>
      </x:c>
      <x:c r="P148" t="str">
        <x:v>P05-CA03</x:v>
      </x:c>
      <x:c r="Q148" t="str">
        <x:v>P05-WP032</x:v>
      </x:c>
      <x:c r="R148" t="str">
        <x:v>Task</x:v>
      </x:c>
      <x:c r="S148" t="str">
        <x:v>Synthetic, industry-informed</x:v>
      </x:c>
      <x:c r="T148" t="str">
        <x:v>Semantic WBS mapping corrected: bulk material procurement belongs in Procurement, not Construction</x:v>
      </x:c>
      <x:c r="U148" s="54" t="n">
        <x:v>45852</x:v>
      </x:c>
      <x:c r="V148" s="54" t="n">
        <x:v>45891</x:v>
      </x:c>
      <x:c r="W148" s="54" t="n">
        <x:v>45852</x:v>
      </x:c>
      <x:c r="X148" s="54" t="n">
        <x:v>45891</x:v>
      </x:c>
      <x:c r="Y148" s="78" t="n">
        <x:v>0</x:v>
      </x:c>
    </x:row>
    <x:row r="149" ht="21" customHeight="1">
      <x:c r="A149" t="str">
        <x:v>P05-A6</x:v>
      </x:c>
      <x:c r="B149" t="str">
        <x:v>P05</x:v>
      </x:c>
      <x:c r="C149" t="str">
        <x:v>Contractor Mobilization (multi-crew)</x:v>
      </x:c>
      <x:c r="D149" t="str">
        <x:v>1.05.3.2</x:v>
      </x:c>
      <x:c r="E149" s="54" t="n">
        <x:v>45852</x:v>
      </x:c>
      <x:c r="F149" s="54" t="n">
        <x:v>45870</x:v>
      </x:c>
      <x:c r="G149" s="54"/>
      <x:c r="H149" s="54"/>
      <x:c r="I149" s="54"/>
      <x:c r="J149" s="54"/>
      <x:c r="K149" t="n">
        <x:v>15</x:v>
      </x:c>
      <x:c r="L149" t="str">
        <x:v>P05-M2</x:v>
      </x:c>
      <x:c r="M149"/>
      <x:c r="N149" s="21" t="b">
        <x:v>0</x:v>
      </x:c>
      <x:c r="O149" s="21" t="b">
        <x:v>0</x:v>
      </x:c>
      <x:c r="P149" t="str">
        <x:v>P05-CA03</x:v>
      </x:c>
      <x:c r="Q149" t="str">
        <x:v>P05-WP032</x:v>
      </x:c>
      <x:c r="R149" t="str">
        <x:v>Task</x:v>
      </x:c>
      <x:c r="S149" t="str">
        <x:v>Project-type realism</x:v>
      </x:c>
      <x:c r="T149" t="str">
        <x:v>Source-derived / reconstructed network</x:v>
      </x:c>
      <x:c r="U149" s="54" t="n">
        <x:v>45852</x:v>
      </x:c>
      <x:c r="V149" s="54" t="n">
        <x:v>45870</x:v>
      </x:c>
      <x:c r="W149" s="54" t="n">
        <x:v>45873</x:v>
      </x:c>
      <x:c r="X149" s="54" t="n">
        <x:v>45891</x:v>
      </x:c>
      <x:c r="Y149" s="78" t="n">
        <x:v>15</x:v>
      </x:c>
    </x:row>
    <x:row r="150" ht="21" customHeight="1">
      <x:c r="A150" t="str">
        <x:v>P05-A7</x:v>
      </x:c>
      <x:c r="B150" t="str">
        <x:v>P05</x:v>
      </x:c>
      <x:c r="C150" t="str">
        <x:v>Customer/Property Outreach Campaign (program-wide)</x:v>
      </x:c>
      <x:c r="D150" t="str">
        <x:v>1.05.4.1</x:v>
      </x:c>
      <x:c r="E150" s="54" t="n">
        <x:v>45852</x:v>
      </x:c>
      <x:c r="F150" s="54" t="n">
        <x:v>45905</x:v>
      </x:c>
      <x:c r="G150" s="54"/>
      <x:c r="H150" s="54"/>
      <x:c r="I150" s="54"/>
      <x:c r="J150" s="54"/>
      <x:c r="K150" t="n">
        <x:v>40</x:v>
      </x:c>
      <x:c r="L150" t="str">
        <x:v>P05-M2</x:v>
      </x:c>
      <x:c r="M150"/>
      <x:c r="N150" s="21" t="b">
        <x:v>0</x:v>
      </x:c>
      <x:c r="O150" s="21" t="b">
        <x:v>1</x:v>
      </x:c>
      <x:c r="P150" t="str">
        <x:v>P05-CA04</x:v>
      </x:c>
      <x:c r="Q150" t="str">
        <x:v>P05-WP041</x:v>
      </x:c>
      <x:c r="R150" t="str">
        <x:v>Task</x:v>
      </x:c>
      <x:c r="S150" t="str">
        <x:v>Synthetic, industry-informed</x:v>
      </x:c>
      <x:c r="T150" t="str">
        <x:v>Source-derived / reconstructed network</x:v>
      </x:c>
      <x:c r="U150" s="54" t="n">
        <x:v>45852</x:v>
      </x:c>
      <x:c r="V150" s="54" t="n">
        <x:v>45905</x:v>
      </x:c>
      <x:c r="W150" s="54" t="n">
        <x:v>45852</x:v>
      </x:c>
      <x:c r="X150" s="54" t="n">
        <x:v>45905</x:v>
      </x:c>
      <x:c r="Y150" s="78" t="n">
        <x:v>0</x:v>
      </x:c>
    </x:row>
    <x:row r="151" ht="21" customHeight="1">
      <x:c r="A151" t="str">
        <x:v>P05-A9</x:v>
      </x:c>
      <x:c r="B151" t="str">
        <x:v>P05</x:v>
      </x:c>
      <x:c r="C151" t="str">
        <x:v>Access/Consent Coordination &amp; Scheduling</x:v>
      </x:c>
      <x:c r="D151" t="str">
        <x:v>1.05.4.1</x:v>
      </x:c>
      <x:c r="E151" s="54" t="n">
        <x:v>45866</x:v>
      </x:c>
      <x:c r="F151" s="54" t="n">
        <x:v>45891</x:v>
      </x:c>
      <x:c r="G151" s="54"/>
      <x:c r="H151" s="54"/>
      <x:c r="I151" s="54"/>
      <x:c r="J151" s="54"/>
      <x:c r="K151" t="n">
        <x:v>20</x:v>
      </x:c>
      <x:c r="L151" t="str">
        <x:v>P05-A7</x:v>
      </x:c>
      <x:c r="M151"/>
      <x:c r="N151" s="21" t="b">
        <x:v>0</x:v>
      </x:c>
      <x:c r="O151" s="21" t="b">
        <x:v>1</x:v>
      </x:c>
      <x:c r="P151" t="str">
        <x:v>P05-CA04</x:v>
      </x:c>
      <x:c r="Q151" t="str">
        <x:v>P05-WP041</x:v>
      </x:c>
      <x:c r="R151" t="str">
        <x:v>Task</x:v>
      </x:c>
      <x:c r="S151" t="str">
        <x:v>Project-type realism</x:v>
      </x:c>
      <x:c r="T151" t="str">
        <x:v>Recovered by reconciliation to approved P05 milestone dates and published durations</x:v>
      </x:c>
      <x:c r="U151" s="54" t="n">
        <x:v>45866</x:v>
      </x:c>
      <x:c r="V151" s="54" t="n">
        <x:v>45891</x:v>
      </x:c>
      <x:c r="W151" s="54" t="n">
        <x:v>45866</x:v>
      </x:c>
      <x:c r="X151" s="54" t="n">
        <x:v>45891</x:v>
      </x:c>
      <x:c r="Y151" s="78" t="n">
        <x:v>0</x:v>
      </x:c>
    </x:row>
    <x:row r="152" ht="21" customHeight="1">
      <x:c r="A152" t="str">
        <x:v>P05-A8</x:v>
      </x:c>
      <x:c r="B152" t="str">
        <x:v>P05</x:v>
      </x:c>
      <x:c r="C152" t="str">
        <x:v>Property Eligibility &amp; Service Line Material Verification</x:v>
      </x:c>
      <x:c r="D152" t="str">
        <x:v>1.05.1.1</x:v>
      </x:c>
      <x:c r="E152" s="54" t="n">
        <x:v>45873</x:v>
      </x:c>
      <x:c r="F152" s="54" t="n">
        <x:v>45912</x:v>
      </x:c>
      <x:c r="G152" s="54"/>
      <x:c r="H152" s="54"/>
      <x:c r="I152" s="54"/>
      <x:c r="J152" s="54"/>
      <x:c r="K152" t="n">
        <x:v>30</x:v>
      </x:c>
      <x:c r="L152" t="str">
        <x:v>P05-A7</x:v>
      </x:c>
      <x:c r="M152"/>
      <x:c r="N152" s="21" t="b">
        <x:v>0</x:v>
      </x:c>
      <x:c r="O152" s="21" t="b">
        <x:v>0</x:v>
      </x:c>
      <x:c r="P152" t="str">
        <x:v>P05-CA01</x:v>
      </x:c>
      <x:c r="Q152" t="str">
        <x:v>P05-WP011</x:v>
      </x:c>
      <x:c r="R152" t="str">
        <x:v>Task</x:v>
      </x:c>
      <x:c r="S152" t="str">
        <x:v>Project-type realism</x:v>
      </x:c>
      <x:c r="T152" t="str">
        <x:v>Semantic WBS mapping corrected: eligibility/material verification is pre-field inventory/assessment work</x:v>
      </x:c>
      <x:c r="U152" s="54" t="n">
        <x:v>45873</x:v>
      </x:c>
      <x:c r="V152" s="54" t="n">
        <x:v>45912</x:v>
      </x:c>
      <x:c r="W152" s="54" t="n">
        <x:v>46118</x:v>
      </x:c>
      <x:c r="X152" s="54" t="n">
        <x:v>46157</x:v>
      </x:c>
      <x:c r="Y152" s="78" t="n">
        <x:v>175</x:v>
      </x:c>
    </x:row>
    <x:row r="153" ht="21" customHeight="1">
      <x:c r="A153" t="str">
        <x:v>P05-A12a</x:v>
      </x:c>
      <x:c r="B153" t="str">
        <x:v>P05</x:v>
      </x:c>
      <x:c r="C153" t="str">
        <x:v>Zone A Field Replacement</x:v>
      </x:c>
      <x:c r="D153" t="str">
        <x:v>1.05.4.1</x:v>
      </x:c>
      <x:c r="E153" s="54" t="n">
        <x:v>45894</x:v>
      </x:c>
      <x:c r="F153" s="54" t="n">
        <x:v>45968</x:v>
      </x:c>
      <x:c r="G153" s="54"/>
      <x:c r="H153" s="54"/>
      <x:c r="I153" s="54"/>
      <x:c r="J153" s="54"/>
      <x:c r="K153" t="n">
        <x:v>55</x:v>
      </x:c>
      <x:c r="L153" t="str">
        <x:v>P05-A6, P05-A9, P05-A10, P05-A11</x:v>
      </x:c>
      <x:c r="M153"/>
      <x:c r="N153" s="21" t="b">
        <x:v>0</x:v>
      </x:c>
      <x:c r="O153" s="21" t="b">
        <x:v>1</x:v>
      </x:c>
      <x:c r="P153" t="str">
        <x:v>P05-CA04</x:v>
      </x:c>
      <x:c r="Q153" t="str">
        <x:v>P05-WP041</x:v>
      </x:c>
      <x:c r="R153" t="str">
        <x:v>Task</x:v>
      </x:c>
      <x:c r="S153" t="str">
        <x:v>Synthetic, industry-informed</x:v>
      </x:c>
      <x:c r="T153" t="str">
        <x:v>Recovered by reconciliation to approved P05 milestone dates and published durations</x:v>
      </x:c>
      <x:c r="U153" s="54" t="n">
        <x:v>45894</x:v>
      </x:c>
      <x:c r="V153" s="54" t="n">
        <x:v>45968</x:v>
      </x:c>
      <x:c r="W153" s="54" t="n">
        <x:v>45894</x:v>
      </x:c>
      <x:c r="X153" s="54" t="n">
        <x:v>45968</x:v>
      </x:c>
      <x:c r="Y153" s="78" t="n">
        <x:v>0</x:v>
      </x:c>
    </x:row>
    <x:row r="154" ht="21" customHeight="1">
      <x:c r="A154" t="str">
        <x:v>P05-AFIRST</x:v>
      </x:c>
      <x:c r="B154" t="str">
        <x:v>P05</x:v>
      </x:c>
      <x:c r="C154" t="str">
        <x:v>Complete First Service Line Replacement</x:v>
      </x:c>
      <x:c r="D154" t="str">
        <x:v>1.05.4.1</x:v>
      </x:c>
      <x:c r="E154" s="54" t="n">
        <x:v>45894</x:v>
      </x:c>
      <x:c r="F154" s="54" t="n">
        <x:v>45895</x:v>
      </x:c>
      <x:c r="G154" s="54"/>
      <x:c r="H154" s="54"/>
      <x:c r="I154" s="54"/>
      <x:c r="J154" s="54"/>
      <x:c r="K154" t="n">
        <x:v>2</x:v>
      </x:c>
      <x:c r="L154" t="str">
        <x:v>P05-A12a</x:v>
      </x:c>
      <x:c r="M154"/>
      <x:c r="N154" s="21" t="b">
        <x:v>0</x:v>
      </x:c>
      <x:c r="O154" s="21" t="b">
        <x:v>0</x:v>
      </x:c>
      <x:c r="P154" t="str">
        <x:v>P05-CA04</x:v>
      </x:c>
      <x:c r="Q154" t="str">
        <x:v>P05-WP041</x:v>
      </x:c>
      <x:c r="R154" t="str">
        <x:v>Task</x:v>
      </x:c>
      <x:c r="S154" t="str">
        <x:v>Approved P05 v2 explicit completed-scope activity</x:v>
      </x:c>
      <x:c r="T154" t="str">
        <x:v>Recovered by reconciliation to approved P05 milestone dates and published durations</x:v>
      </x:c>
      <x:c r="U154" s="54" t="n">
        <x:v>45894</x:v>
      </x:c>
      <x:c r="V154" s="54" t="n">
        <x:v>45895</x:v>
      </x:c>
      <x:c r="W154" s="54" t="n">
        <x:v>46156</x:v>
      </x:c>
      <x:c r="X154" s="54" t="n">
        <x:v>46157</x:v>
      </x:c>
      <x:c r="Y154" s="78" t="n">
        <x:v>188</x:v>
      </x:c>
    </x:row>
    <x:row r="155" ht="21" customHeight="1">
      <x:c r="A155" t="str">
        <x:v>P05-MFIRST</x:v>
      </x:c>
      <x:c r="B155" t="str">
        <x:v>P05</x:v>
      </x:c>
      <x:c r="C155" t="str">
        <x:v>MFIRST</x:v>
      </x:c>
      <x:c r="D155" t="str">
        <x:v>1.05.4.1</x:v>
      </x:c>
      <x:c r="E155" s="54" t="n">
        <x:v>45895</x:v>
      </x:c>
      <x:c r="F155" s="54" t="n">
        <x:v>45895</x:v>
      </x:c>
      <x:c r="G155" s="54"/>
      <x:c r="H155" s="54"/>
      <x:c r="I155" s="54"/>
      <x:c r="J155" s="54"/>
      <x:c r="K155" t="n">
        <x:v>0</x:v>
      </x:c>
      <x:c r="L155" t="str">
        <x:v>P05-AFIRST</x:v>
      </x:c>
      <x:c r="M155"/>
      <x:c r="N155" s="21" t="b">
        <x:v>1</x:v>
      </x:c>
      <x:c r="O155" s="21" t="b">
        <x:v>0</x:v>
      </x:c>
      <x:c r="P155" t="str">
        <x:v>P05-CA04</x:v>
      </x:c>
      <x:c r="Q155" t="str">
        <x:v>P05-WP041</x:v>
      </x:c>
      <x:c r="R155" t="str">
        <x:v>Milestone</x:v>
      </x:c>
      <x:c r="S155" t="str">
        <x:v>Approved milestone / interface milestone</x:v>
      </x:c>
      <x:c r="T155" t="str">
        <x:v>Recovered by reconciliation to approved P05 milestone dates and published durations</x:v>
      </x:c>
      <x:c r="U155" s="54" t="n">
        <x:v>45895</x:v>
      </x:c>
      <x:c r="V155" s="54" t="n">
        <x:v>45895</x:v>
      </x:c>
      <x:c r="W155" s="54" t="n">
        <x:v>46157</x:v>
      </x:c>
      <x:c r="X155" s="54" t="n">
        <x:v>46157</x:v>
      </x:c>
      <x:c r="Y155" s="78" t="n">
        <x:v>188</x:v>
      </x:c>
    </x:row>
    <x:row r="156" ht="21" customHeight="1">
      <x:c r="A156" t="str">
        <x:v>P05-A12b</x:v>
      </x:c>
      <x:c r="B156" t="str">
        <x:v>P05</x:v>
      </x:c>
      <x:c r="C156" t="str">
        <x:v>Zone A Property Restoration</x:v>
      </x:c>
      <x:c r="D156" t="str">
        <x:v>1.05.4.2</x:v>
      </x:c>
      <x:c r="E156" s="54" t="n">
        <x:v>45915</x:v>
      </x:c>
      <x:c r="F156" s="54" t="n">
        <x:v>45989</x:v>
      </x:c>
      <x:c r="G156" s="54"/>
      <x:c r="H156" s="54"/>
      <x:c r="I156" s="54"/>
      <x:c r="J156" s="54"/>
      <x:c r="K156" t="n">
        <x:v>55</x:v>
      </x:c>
      <x:c r="L156" t="str">
        <x:v>P05-A12a</x:v>
      </x:c>
      <x:c r="M156"/>
      <x:c r="N156" s="21" t="b">
        <x:v>0</x:v>
      </x:c>
      <x:c r="O156" s="21" t="b">
        <x:v>0</x:v>
      </x:c>
      <x:c r="P156" t="str">
        <x:v>P05-CA04</x:v>
      </x:c>
      <x:c r="Q156" t="str">
        <x:v>P05-WP042</x:v>
      </x:c>
      <x:c r="R156" t="str">
        <x:v>Task</x:v>
      </x:c>
      <x:c r="S156" t="str">
        <x:v>Project-type realism</x:v>
      </x:c>
      <x:c r="T156" t="str">
        <x:v>Recovered by reconciliation to approved P05 milestone dates and published durations</x:v>
      </x:c>
      <x:c r="U156" s="54" t="n">
        <x:v>45915</x:v>
      </x:c>
      <x:c r="V156" s="54" t="n">
        <x:v>45989</x:v>
      </x:c>
      <x:c r="W156" s="54" t="n">
        <x:v>45999</x:v>
      </x:c>
      <x:c r="X156" s="54" t="n">
        <x:v>46073</x:v>
      </x:c>
      <x:c r="Y156" s="78" t="n">
        <x:v>60</x:v>
      </x:c>
    </x:row>
    <x:row r="157" ht="21" customHeight="1">
      <x:c r="A157" t="str">
        <x:v>P05-A13a</x:v>
      </x:c>
      <x:c r="B157" t="str">
        <x:v>P05</x:v>
      </x:c>
      <x:c r="C157" t="str">
        <x:v>Zone B Field Replacement</x:v>
      </x:c>
      <x:c r="D157" t="str">
        <x:v>1.05.4.1</x:v>
      </x:c>
      <x:c r="E157" s="54" t="n">
        <x:v>45922</x:v>
      </x:c>
      <x:c r="F157" s="54" t="n">
        <x:v>45996</x:v>
      </x:c>
      <x:c r="G157" s="54"/>
      <x:c r="H157" s="54"/>
      <x:c r="I157" s="54"/>
      <x:c r="J157" s="54"/>
      <x:c r="K157" t="n">
        <x:v>55</x:v>
      </x:c>
      <x:c r="L157" t="str">
        <x:v>P05-A12a</x:v>
      </x:c>
      <x:c r="M157"/>
      <x:c r="N157" s="21" t="b">
        <x:v>0</x:v>
      </x:c>
      <x:c r="O157" s="21" t="b">
        <x:v>1</x:v>
      </x:c>
      <x:c r="P157" t="str">
        <x:v>P05-CA04</x:v>
      </x:c>
      <x:c r="Q157" t="str">
        <x:v>P05-WP041</x:v>
      </x:c>
      <x:c r="R157" t="str">
        <x:v>Task</x:v>
      </x:c>
      <x:c r="S157" t="str">
        <x:v>Synthetic, industry-informed</x:v>
      </x:c>
      <x:c r="T157" t="str">
        <x:v>Recovered by reconciliation to approved P05 milestone dates and published durations</x:v>
      </x:c>
      <x:c r="U157" s="54" t="n">
        <x:v>45922</x:v>
      </x:c>
      <x:c r="V157" s="54" t="n">
        <x:v>45996</x:v>
      </x:c>
      <x:c r="W157" s="54" t="n">
        <x:v>45922</x:v>
      </x:c>
      <x:c r="X157" s="54" t="n">
        <x:v>45996</x:v>
      </x:c>
      <x:c r="Y157" s="78" t="n">
        <x:v>0</x:v>
      </x:c>
    </x:row>
    <x:row r="158" ht="21" customHeight="1">
      <x:c r="A158" t="str">
        <x:v>P05-A13b</x:v>
      </x:c>
      <x:c r="B158" t="str">
        <x:v>P05</x:v>
      </x:c>
      <x:c r="C158" t="str">
        <x:v>Zone B Property Restoration</x:v>
      </x:c>
      <x:c r="D158" t="str">
        <x:v>1.05.4.2</x:v>
      </x:c>
      <x:c r="E158" s="54" t="n">
        <x:v>45943</x:v>
      </x:c>
      <x:c r="F158" s="54" t="n">
        <x:v>46017</x:v>
      </x:c>
      <x:c r="G158" s="54"/>
      <x:c r="H158" s="54"/>
      <x:c r="I158" s="54"/>
      <x:c r="J158" s="54"/>
      <x:c r="K158" t="n">
        <x:v>55</x:v>
      </x:c>
      <x:c r="L158" t="str">
        <x:v>P05-A13a</x:v>
      </x:c>
      <x:c r="M158"/>
      <x:c r="N158" s="21" t="b">
        <x:v>0</x:v>
      </x:c>
      <x:c r="O158" s="21" t="b">
        <x:v>0</x:v>
      </x:c>
      <x:c r="P158" t="str">
        <x:v>P05-CA04</x:v>
      </x:c>
      <x:c r="Q158" t="str">
        <x:v>P05-WP042</x:v>
      </x:c>
      <x:c r="R158" t="str">
        <x:v>Task</x:v>
      </x:c>
      <x:c r="S158" t="str">
        <x:v>Project-type realism</x:v>
      </x:c>
      <x:c r="T158" t="str">
        <x:v>Recovered by reconciliation to approved P05 milestone dates and published durations</x:v>
      </x:c>
      <x:c r="U158" s="54" t="n">
        <x:v>45943</x:v>
      </x:c>
      <x:c r="V158" s="54" t="n">
        <x:v>46017</x:v>
      </x:c>
      <x:c r="W158" s="54" t="n">
        <x:v>45999</x:v>
      </x:c>
      <x:c r="X158" s="54" t="n">
        <x:v>46073</x:v>
      </x:c>
      <x:c r="Y158" s="78" t="n">
        <x:v>40</x:v>
      </x:c>
    </x:row>
    <x:row r="159" ht="21" customHeight="1">
      <x:c r="A159" t="str">
        <x:v>P05-A14a</x:v>
      </x:c>
      <x:c r="B159" t="str">
        <x:v>P05</x:v>
      </x:c>
      <x:c r="C159" t="str">
        <x:v>Zone C Field Replacement</x:v>
      </x:c>
      <x:c r="D159" t="str">
        <x:v>1.05.4.1</x:v>
      </x:c>
      <x:c r="E159" s="54" t="n">
        <x:v>45950</x:v>
      </x:c>
      <x:c r="F159" s="54" t="n">
        <x:v>46024</x:v>
      </x:c>
      <x:c r="G159" s="54"/>
      <x:c r="H159" s="54"/>
      <x:c r="I159" s="54"/>
      <x:c r="J159" s="54"/>
      <x:c r="K159" t="n">
        <x:v>55</x:v>
      </x:c>
      <x:c r="L159" t="str">
        <x:v>P05-A13a</x:v>
      </x:c>
      <x:c r="M159"/>
      <x:c r="N159" s="21" t="b">
        <x:v>0</x:v>
      </x:c>
      <x:c r="O159" s="21" t="b">
        <x:v>1</x:v>
      </x:c>
      <x:c r="P159" t="str">
        <x:v>P05-CA04</x:v>
      </x:c>
      <x:c r="Q159" t="str">
        <x:v>P05-WP041</x:v>
      </x:c>
      <x:c r="R159" t="str">
        <x:v>Task</x:v>
      </x:c>
      <x:c r="S159" t="str">
        <x:v>Synthetic, industry-informed</x:v>
      </x:c>
      <x:c r="T159" t="str">
        <x:v>Recovered by reconciliation to approved P05 milestone dates and published durations</x:v>
      </x:c>
      <x:c r="U159" s="54" t="n">
        <x:v>45950</x:v>
      </x:c>
      <x:c r="V159" s="54" t="n">
        <x:v>46024</x:v>
      </x:c>
      <x:c r="W159" s="54" t="n">
        <x:v>45950</x:v>
      </x:c>
      <x:c r="X159" s="54" t="n">
        <x:v>46024</x:v>
      </x:c>
      <x:c r="Y159" s="78" t="n">
        <x:v>0</x:v>
      </x:c>
    </x:row>
    <x:row r="160" ht="21" customHeight="1">
      <x:c r="A160" t="str">
        <x:v>P05-M25</x:v>
      </x:c>
      <x:c r="B160" t="str">
        <x:v>P05</x:v>
      </x:c>
      <x:c r="C160" t="str">
        <x:v>M25</x:v>
      </x:c>
      <x:c r="D160" t="str">
        <x:v>1.05.4.1</x:v>
      </x:c>
      <x:c r="E160" s="54" t="n">
        <x:v>45968</x:v>
      </x:c>
      <x:c r="F160" s="54" t="n">
        <x:v>45968</x:v>
      </x:c>
      <x:c r="G160" s="54"/>
      <x:c r="H160" s="54"/>
      <x:c r="I160" s="54"/>
      <x:c r="J160" s="54"/>
      <x:c r="K160" t="n">
        <x:v>0</x:v>
      </x:c>
      <x:c r="L160" t="str">
        <x:v>P05-A12a</x:v>
      </x:c>
      <x:c r="M160"/>
      <x:c r="N160" s="21" t="b">
        <x:v>1</x:v>
      </x:c>
      <x:c r="O160" s="21" t="b">
        <x:v>0</x:v>
      </x:c>
      <x:c r="P160" t="str">
        <x:v>P05-CA04</x:v>
      </x:c>
      <x:c r="Q160" t="str">
        <x:v>P05-WP041</x:v>
      </x:c>
      <x:c r="R160" t="str">
        <x:v>Milestone</x:v>
      </x:c>
      <x:c r="S160" t="str">
        <x:v>Approved milestone / interface milestone</x:v>
      </x:c>
      <x:c r="T160" t="str">
        <x:v>Source-explicit milestone date</x:v>
      </x:c>
      <x:c r="U160" s="54" t="n">
        <x:v>45968</x:v>
      </x:c>
      <x:c r="V160" s="54" t="n">
        <x:v>45968</x:v>
      </x:c>
      <x:c r="W160" s="54" t="n">
        <x:v>46157</x:v>
      </x:c>
      <x:c r="X160" s="54" t="n">
        <x:v>46157</x:v>
      </x:c>
      <x:c r="Y160" s="78" t="n">
        <x:v>135</x:v>
      </x:c>
    </x:row>
    <x:row r="161" ht="21" customHeight="1">
      <x:c r="A161" t="str">
        <x:v>P05-A14b</x:v>
      </x:c>
      <x:c r="B161" t="str">
        <x:v>P05</x:v>
      </x:c>
      <x:c r="C161" t="str">
        <x:v>Zone C Property Restoration</x:v>
      </x:c>
      <x:c r="D161" t="str">
        <x:v>1.05.4.2</x:v>
      </x:c>
      <x:c r="E161" s="54" t="n">
        <x:v>45971</x:v>
      </x:c>
      <x:c r="F161" s="54" t="n">
        <x:v>46045</x:v>
      </x:c>
      <x:c r="G161" s="54"/>
      <x:c r="H161" s="54"/>
      <x:c r="I161" s="54"/>
      <x:c r="J161" s="54"/>
      <x:c r="K161" t="n">
        <x:v>55</x:v>
      </x:c>
      <x:c r="L161" t="str">
        <x:v>P05-A14a</x:v>
      </x:c>
      <x:c r="M161"/>
      <x:c r="N161" s="21" t="b">
        <x:v>0</x:v>
      </x:c>
      <x:c r="O161" s="21" t="b">
        <x:v>0</x:v>
      </x:c>
      <x:c r="P161" t="str">
        <x:v>P05-CA04</x:v>
      </x:c>
      <x:c r="Q161" t="str">
        <x:v>P05-WP042</x:v>
      </x:c>
      <x:c r="R161" t="str">
        <x:v>Task</x:v>
      </x:c>
      <x:c r="S161" t="str">
        <x:v>Project-type realism</x:v>
      </x:c>
      <x:c r="T161" t="str">
        <x:v>Recovered by reconciliation to approved P05 milestone dates and published durations</x:v>
      </x:c>
      <x:c r="U161" s="54" t="n">
        <x:v>45971</x:v>
      </x:c>
      <x:c r="V161" s="54" t="n">
        <x:v>46045</x:v>
      </x:c>
      <x:c r="W161" s="54" t="n">
        <x:v>45999</x:v>
      </x:c>
      <x:c r="X161" s="54" t="n">
        <x:v>46073</x:v>
      </x:c>
      <x:c r="Y161" s="78" t="n">
        <x:v>20</x:v>
      </x:c>
    </x:row>
    <x:row r="162" ht="21" customHeight="1">
      <x:c r="A162" t="str">
        <x:v>P05-A15a</x:v>
      </x:c>
      <x:c r="B162" t="str">
        <x:v>P05</x:v>
      </x:c>
      <x:c r="C162" t="str">
        <x:v>Zone D Field Replacement</x:v>
      </x:c>
      <x:c r="D162" t="str">
        <x:v>1.05.4.1</x:v>
      </x:c>
      <x:c r="E162" s="54" t="n">
        <x:v>45978</x:v>
      </x:c>
      <x:c r="F162" s="54" t="n">
        <x:v>46052</x:v>
      </x:c>
      <x:c r="G162" s="54"/>
      <x:c r="H162" s="54"/>
      <x:c r="I162" s="54"/>
      <x:c r="J162" s="54"/>
      <x:c r="K162" t="n">
        <x:v>55</x:v>
      </x:c>
      <x:c r="L162" t="str">
        <x:v>P05-A14a</x:v>
      </x:c>
      <x:c r="M162"/>
      <x:c r="N162" s="21" t="b">
        <x:v>0</x:v>
      </x:c>
      <x:c r="O162" s="21" t="b">
        <x:v>1</x:v>
      </x:c>
      <x:c r="P162" t="str">
        <x:v>P05-CA04</x:v>
      </x:c>
      <x:c r="Q162" t="str">
        <x:v>P05-WP041</x:v>
      </x:c>
      <x:c r="R162" t="str">
        <x:v>Task</x:v>
      </x:c>
      <x:c r="S162" t="str">
        <x:v>Synthetic, industry-informed</x:v>
      </x:c>
      <x:c r="T162" t="str">
        <x:v>Recovered by reconciliation to approved P05 milestone dates and published durations</x:v>
      </x:c>
      <x:c r="U162" s="54" t="n">
        <x:v>45978</x:v>
      </x:c>
      <x:c r="V162" s="54" t="n">
        <x:v>46052</x:v>
      </x:c>
      <x:c r="W162" s="54" t="n">
        <x:v>45978</x:v>
      </x:c>
      <x:c r="X162" s="54" t="n">
        <x:v>46052</x:v>
      </x:c>
      <x:c r="Y162" s="78" t="n">
        <x:v>0</x:v>
      </x:c>
    </x:row>
    <x:row r="163" ht="21" customHeight="1">
      <x:c r="A163" t="str">
        <x:v>P05-A12c</x:v>
      </x:c>
      <x:c r="B163" t="str">
        <x:v>P05</x:v>
      </x:c>
      <x:c r="C163" t="str">
        <x:v>Zone A Water Quality Sampling &amp; Customer Notification</x:v>
      </x:c>
      <x:c r="D163" t="str">
        <x:v>1.05.5.1</x:v>
      </x:c>
      <x:c r="E163" s="54" t="n">
        <x:v>45992</x:v>
      </x:c>
      <x:c r="F163" s="54" t="n">
        <x:v>46010</x:v>
      </x:c>
      <x:c r="G163" s="54"/>
      <x:c r="H163" s="54"/>
      <x:c r="I163" s="54"/>
      <x:c r="J163" s="54"/>
      <x:c r="K163" t="n">
        <x:v>15</x:v>
      </x:c>
      <x:c r="L163" t="str">
        <x:v>P05-A12b</x:v>
      </x:c>
      <x:c r="M163"/>
      <x:c r="N163" s="21" t="b">
        <x:v>0</x:v>
      </x:c>
      <x:c r="O163" s="21" t="b">
        <x:v>0</x:v>
      </x:c>
      <x:c r="P163" t="str">
        <x:v>P05-CA05</x:v>
      </x:c>
      <x:c r="Q163" t="str">
        <x:v>P05-WP051</x:v>
      </x:c>
      <x:c r="R163" t="str">
        <x:v>Task</x:v>
      </x:c>
      <x:c r="S163" t="str">
        <x:v>Project-type realism; remapped to Testing &amp; Commissioning</x:v>
      </x:c>
      <x:c r="T163" t="str">
        <x:v>Recovered by reconciliation to approved P05 milestone dates and published durations</x:v>
      </x:c>
      <x:c r="U163" s="54" t="n">
        <x:v>45992</x:v>
      </x:c>
      <x:c r="V163" s="54" t="n">
        <x:v>46010</x:v>
      </x:c>
      <x:c r="W163" s="54" t="n">
        <x:v>46076</x:v>
      </x:c>
      <x:c r="X163" s="54" t="n">
        <x:v>46094</x:v>
      </x:c>
      <x:c r="Y163" s="78" t="n">
        <x:v>60</x:v>
      </x:c>
    </x:row>
    <x:row r="164" ht="21" customHeight="1">
      <x:c r="A164" t="str">
        <x:v>P05-M50</x:v>
      </x:c>
      <x:c r="B164" t="str">
        <x:v>P05</x:v>
      </x:c>
      <x:c r="C164" t="str">
        <x:v>M50</x:v>
      </x:c>
      <x:c r="D164" t="str">
        <x:v>1.05.4.1</x:v>
      </x:c>
      <x:c r="E164" s="54" t="n">
        <x:v>45996</x:v>
      </x:c>
      <x:c r="F164" s="54" t="n">
        <x:v>45996</x:v>
      </x:c>
      <x:c r="G164" s="54"/>
      <x:c r="H164" s="54"/>
      <x:c r="I164" s="54"/>
      <x:c r="J164" s="54"/>
      <x:c r="K164" t="n">
        <x:v>0</x:v>
      </x:c>
      <x:c r="L164" t="str">
        <x:v>P05-A13a</x:v>
      </x:c>
      <x:c r="M164"/>
      <x:c r="N164" s="21" t="b">
        <x:v>1</x:v>
      </x:c>
      <x:c r="O164" s="21" t="b">
        <x:v>0</x:v>
      </x:c>
      <x:c r="P164" t="str">
        <x:v>P05-CA04</x:v>
      </x:c>
      <x:c r="Q164" t="str">
        <x:v>P05-WP041</x:v>
      </x:c>
      <x:c r="R164" t="str">
        <x:v>Milestone</x:v>
      </x:c>
      <x:c r="S164" t="str">
        <x:v>Approved milestone / interface milestone</x:v>
      </x:c>
      <x:c r="T164" t="str">
        <x:v>Source-explicit milestone date</x:v>
      </x:c>
      <x:c r="U164" s="54" t="n">
        <x:v>45996</x:v>
      </x:c>
      <x:c r="V164" s="54" t="n">
        <x:v>45996</x:v>
      </x:c>
      <x:c r="W164" s="54" t="n">
        <x:v>46157</x:v>
      </x:c>
      <x:c r="X164" s="54" t="n">
        <x:v>46157</x:v>
      </x:c>
      <x:c r="Y164" s="78" t="n">
        <x:v>115</x:v>
      </x:c>
    </x:row>
    <x:row r="165" ht="21" customHeight="1">
      <x:c r="A165" t="str">
        <x:v>P05-A15b</x:v>
      </x:c>
      <x:c r="B165" t="str">
        <x:v>P05</x:v>
      </x:c>
      <x:c r="C165" t="str">
        <x:v>Zone D Property Restoration</x:v>
      </x:c>
      <x:c r="D165" t="str">
        <x:v>1.05.4.2</x:v>
      </x:c>
      <x:c r="E165" s="54" t="n">
        <x:v>45999</x:v>
      </x:c>
      <x:c r="F165" s="54" t="n">
        <x:v>46073</x:v>
      </x:c>
      <x:c r="G165" s="54"/>
      <x:c r="H165" s="54"/>
      <x:c r="I165" s="54"/>
      <x:c r="J165" s="54"/>
      <x:c r="K165" t="n">
        <x:v>55</x:v>
      </x:c>
      <x:c r="L165" t="str">
        <x:v>P05-A15a</x:v>
      </x:c>
      <x:c r="M165"/>
      <x:c r="N165" s="21" t="b">
        <x:v>0</x:v>
      </x:c>
      <x:c r="O165" s="21" t="b">
        <x:v>1</x:v>
      </x:c>
      <x:c r="P165" t="str">
        <x:v>P05-CA04</x:v>
      </x:c>
      <x:c r="Q165" t="str">
        <x:v>P05-WP042</x:v>
      </x:c>
      <x:c r="R165" t="str">
        <x:v>Task</x:v>
      </x:c>
      <x:c r="S165" t="str">
        <x:v>Project-type realism</x:v>
      </x:c>
      <x:c r="T165" t="str">
        <x:v>Recovered by reconciliation to approved P05 milestone dates and published durations</x:v>
      </x:c>
      <x:c r="U165" s="54" t="n">
        <x:v>45999</x:v>
      </x:c>
      <x:c r="V165" s="54" t="n">
        <x:v>46073</x:v>
      </x:c>
      <x:c r="W165" s="54" t="n">
        <x:v>45999</x:v>
      </x:c>
      <x:c r="X165" s="54" t="n">
        <x:v>46073</x:v>
      </x:c>
      <x:c r="Y165" s="78" t="n">
        <x:v>0</x:v>
      </x:c>
    </x:row>
    <x:row r="166" ht="21" customHeight="1">
      <x:c r="A166" t="str">
        <x:v>P05-A13c</x:v>
      </x:c>
      <x:c r="B166" t="str">
        <x:v>P05</x:v>
      </x:c>
      <x:c r="C166" t="str">
        <x:v>Zone B Water Quality Sampling &amp; Customer Notification</x:v>
      </x:c>
      <x:c r="D166" t="str">
        <x:v>1.05.5.1</x:v>
      </x:c>
      <x:c r="E166" s="54" t="n">
        <x:v>46020</x:v>
      </x:c>
      <x:c r="F166" s="54" t="n">
        <x:v>46038</x:v>
      </x:c>
      <x:c r="G166" s="54"/>
      <x:c r="H166" s="54"/>
      <x:c r="I166" s="54"/>
      <x:c r="J166" s="54"/>
      <x:c r="K166" t="n">
        <x:v>15</x:v>
      </x:c>
      <x:c r="L166" t="str">
        <x:v>P05-A13b</x:v>
      </x:c>
      <x:c r="M166"/>
      <x:c r="N166" s="21" t="b">
        <x:v>0</x:v>
      </x:c>
      <x:c r="O166" s="21" t="b">
        <x:v>0</x:v>
      </x:c>
      <x:c r="P166" t="str">
        <x:v>P05-CA05</x:v>
      </x:c>
      <x:c r="Q166" t="str">
        <x:v>P05-WP051</x:v>
      </x:c>
      <x:c r="R166" t="str">
        <x:v>Task</x:v>
      </x:c>
      <x:c r="S166" t="str">
        <x:v>Project-type realism; remapped to Testing &amp; Commissioning</x:v>
      </x:c>
      <x:c r="T166" t="str">
        <x:v>Recovered by reconciliation to approved P05 milestone dates and published durations</x:v>
      </x:c>
      <x:c r="U166" s="54" t="n">
        <x:v>46020</x:v>
      </x:c>
      <x:c r="V166" s="54" t="n">
        <x:v>46038</x:v>
      </x:c>
      <x:c r="W166" s="54" t="n">
        <x:v>46076</x:v>
      </x:c>
      <x:c r="X166" s="54" t="n">
        <x:v>46094</x:v>
      </x:c>
      <x:c r="Y166" s="78" t="n">
        <x:v>40</x:v>
      </x:c>
    </x:row>
    <x:row r="167" ht="21" customHeight="1">
      <x:c r="A167" t="str">
        <x:v>P05-M75</x:v>
      </x:c>
      <x:c r="B167" t="str">
        <x:v>P05</x:v>
      </x:c>
      <x:c r="C167" t="str">
        <x:v>M75</x:v>
      </x:c>
      <x:c r="D167" t="str">
        <x:v>1.05.4.1</x:v>
      </x:c>
      <x:c r="E167" s="54" t="n">
        <x:v>46024</x:v>
      </x:c>
      <x:c r="F167" s="54" t="n">
        <x:v>46024</x:v>
      </x:c>
      <x:c r="G167" s="54"/>
      <x:c r="H167" s="54"/>
      <x:c r="I167" s="54"/>
      <x:c r="J167" s="54"/>
      <x:c r="K167" t="n">
        <x:v>0</x:v>
      </x:c>
      <x:c r="L167" t="str">
        <x:v>P05-A14a</x:v>
      </x:c>
      <x:c r="M167"/>
      <x:c r="N167" s="21" t="b">
        <x:v>1</x:v>
      </x:c>
      <x:c r="O167" s="21" t="b">
        <x:v>0</x:v>
      </x:c>
      <x:c r="P167" t="str">
        <x:v>P05-CA04</x:v>
      </x:c>
      <x:c r="Q167" t="str">
        <x:v>P05-WP041</x:v>
      </x:c>
      <x:c r="R167" t="str">
        <x:v>Milestone</x:v>
      </x:c>
      <x:c r="S167" t="str">
        <x:v>Approved milestone / interface milestone</x:v>
      </x:c>
      <x:c r="T167" t="str">
        <x:v>Source-explicit milestone date</x:v>
      </x:c>
      <x:c r="U167" s="54" t="n">
        <x:v>46024</x:v>
      </x:c>
      <x:c r="V167" s="54" t="n">
        <x:v>46024</x:v>
      </x:c>
      <x:c r="W167" s="54" t="n">
        <x:v>46157</x:v>
      </x:c>
      <x:c r="X167" s="54" t="n">
        <x:v>46157</x:v>
      </x:c>
      <x:c r="Y167" s="78" t="n">
        <x:v>95</x:v>
      </x:c>
    </x:row>
    <x:row r="168" ht="21" customHeight="1">
      <x:c r="A168" t="str">
        <x:v>P05-A14c</x:v>
      </x:c>
      <x:c r="B168" t="str">
        <x:v>P05</x:v>
      </x:c>
      <x:c r="C168" t="str">
        <x:v>Zone C Water Quality Sampling &amp; Customer Notification</x:v>
      </x:c>
      <x:c r="D168" t="str">
        <x:v>1.05.5.1</x:v>
      </x:c>
      <x:c r="E168" s="54" t="n">
        <x:v>46048</x:v>
      </x:c>
      <x:c r="F168" s="54" t="n">
        <x:v>46066</x:v>
      </x:c>
      <x:c r="G168" s="54"/>
      <x:c r="H168" s="54"/>
      <x:c r="I168" s="54"/>
      <x:c r="J168" s="54"/>
      <x:c r="K168" t="n">
        <x:v>15</x:v>
      </x:c>
      <x:c r="L168" t="str">
        <x:v>P05-A14b</x:v>
      </x:c>
      <x:c r="M168"/>
      <x:c r="N168" s="21" t="b">
        <x:v>0</x:v>
      </x:c>
      <x:c r="O168" s="21" t="b">
        <x:v>0</x:v>
      </x:c>
      <x:c r="P168" t="str">
        <x:v>P05-CA05</x:v>
      </x:c>
      <x:c r="Q168" t="str">
        <x:v>P05-WP051</x:v>
      </x:c>
      <x:c r="R168" t="str">
        <x:v>Task</x:v>
      </x:c>
      <x:c r="S168" t="str">
        <x:v>Project-type realism; remapped to Testing &amp; Commissioning</x:v>
      </x:c>
      <x:c r="T168" t="str">
        <x:v>Recovered by reconciliation to approved P05 milestone dates and published durations</x:v>
      </x:c>
      <x:c r="U168" s="54" t="n">
        <x:v>46048</x:v>
      </x:c>
      <x:c r="V168" s="54" t="n">
        <x:v>46066</x:v>
      </x:c>
      <x:c r="W168" s="54" t="n">
        <x:v>46076</x:v>
      </x:c>
      <x:c r="X168" s="54" t="n">
        <x:v>46094</x:v>
      </x:c>
      <x:c r="Y168" s="78" t="n">
        <x:v>20</x:v>
      </x:c>
    </x:row>
    <x:row r="169" ht="21" customHeight="1">
      <x:c r="A169" t="str">
        <x:v>P05-MTARGET</x:v>
      </x:c>
      <x:c r="B169" t="str">
        <x:v>P05</x:v>
      </x:c>
      <x:c r="C169" t="str">
        <x:v>MTARGET</x:v>
      </x:c>
      <x:c r="D169" t="str">
        <x:v>1.05.4.1</x:v>
      </x:c>
      <x:c r="E169" s="54" t="n">
        <x:v>46052</x:v>
      </x:c>
      <x:c r="F169" s="54" t="n">
        <x:v>46052</x:v>
      </x:c>
      <x:c r="G169" s="54"/>
      <x:c r="H169" s="54"/>
      <x:c r="I169" s="54"/>
      <x:c r="J169" s="54"/>
      <x:c r="K169" t="n">
        <x:v>0</x:v>
      </x:c>
      <x:c r="L169" t="str">
        <x:v>P05-A15a</x:v>
      </x:c>
      <x:c r="M169"/>
      <x:c r="N169" s="21" t="b">
        <x:v>1</x:v>
      </x:c>
      <x:c r="O169" s="21" t="b">
        <x:v>0</x:v>
      </x:c>
      <x:c r="P169" t="str">
        <x:v>P05-CA04</x:v>
      </x:c>
      <x:c r="Q169" t="str">
        <x:v>P05-WP041</x:v>
      </x:c>
      <x:c r="R169" t="str">
        <x:v>Milestone</x:v>
      </x:c>
      <x:c r="S169" t="str">
        <x:v>Approved milestone / interface milestone</x:v>
      </x:c>
      <x:c r="T169" t="str">
        <x:v>Source-explicit milestone date</x:v>
      </x:c>
      <x:c r="U169" s="54" t="n">
        <x:v>46052</x:v>
      </x:c>
      <x:c r="V169" s="54" t="n">
        <x:v>46052</x:v>
      </x:c>
      <x:c r="W169" s="54" t="n">
        <x:v>46157</x:v>
      </x:c>
      <x:c r="X169" s="54" t="n">
        <x:v>46157</x:v>
      </x:c>
      <x:c r="Y169" s="78" t="n">
        <x:v>75</x:v>
      </x:c>
    </x:row>
    <x:row r="170" ht="21" customHeight="1">
      <x:c r="A170" t="str">
        <x:v>P05-A15c</x:v>
      </x:c>
      <x:c r="B170" t="str">
        <x:v>P05</x:v>
      </x:c>
      <x:c r="C170" t="str">
        <x:v>Zone D Water Quality Sampling &amp; Customer Notification</x:v>
      </x:c>
      <x:c r="D170" t="str">
        <x:v>1.05.5.1</x:v>
      </x:c>
      <x:c r="E170" s="54" t="n">
        <x:v>46076</x:v>
      </x:c>
      <x:c r="F170" s="54" t="n">
        <x:v>46094</x:v>
      </x:c>
      <x:c r="G170" s="54"/>
      <x:c r="H170" s="54"/>
      <x:c r="I170" s="54"/>
      <x:c r="J170" s="54"/>
      <x:c r="K170" t="n">
        <x:v>15</x:v>
      </x:c>
      <x:c r="L170" t="str">
        <x:v>P05-A15b</x:v>
      </x:c>
      <x:c r="M170"/>
      <x:c r="N170" s="21" t="b">
        <x:v>0</x:v>
      </x:c>
      <x:c r="O170" s="21" t="b">
        <x:v>1</x:v>
      </x:c>
      <x:c r="P170" t="str">
        <x:v>P05-CA05</x:v>
      </x:c>
      <x:c r="Q170" t="str">
        <x:v>P05-WP051</x:v>
      </x:c>
      <x:c r="R170" t="str">
        <x:v>Task</x:v>
      </x:c>
      <x:c r="S170" t="str">
        <x:v>Project-type realism; remapped to Testing &amp; Commissioning</x:v>
      </x:c>
      <x:c r="T170" t="str">
        <x:v>Recovered by reconciliation to approved P05 milestone dates and published durations</x:v>
      </x:c>
      <x:c r="U170" s="54" t="n">
        <x:v>46076</x:v>
      </x:c>
      <x:c r="V170" s="54" t="n">
        <x:v>46094</x:v>
      </x:c>
      <x:c r="W170" s="54" t="n">
        <x:v>46076</x:v>
      </x:c>
      <x:c r="X170" s="54" t="n">
        <x:v>46094</x:v>
      </x:c>
      <x:c r="Y170" s="78" t="n">
        <x:v>0</x:v>
      </x:c>
    </x:row>
    <x:row r="171" ht="21" customHeight="1">
      <x:c r="A171" t="str">
        <x:v>P05-A16</x:v>
      </x:c>
      <x:c r="B171" t="str">
        <x:v>P05</x:v>
      </x:c>
      <x:c r="C171" t="str">
        <x:v>Final Program Inspection &amp; Punch List</x:v>
      </x:c>
      <x:c r="D171" t="str">
        <x:v>1.05.4.1</x:v>
      </x:c>
      <x:c r="E171" s="54" t="n">
        <x:v>46097</x:v>
      </x:c>
      <x:c r="F171" s="54" t="n">
        <x:v>46115</x:v>
      </x:c>
      <x:c r="G171" s="54"/>
      <x:c r="H171" s="54"/>
      <x:c r="I171" s="54"/>
      <x:c r="J171" s="54"/>
      <x:c r="K171" t="n">
        <x:v>15</x:v>
      </x:c>
      <x:c r="L171" t="str">
        <x:v>P05-A12c, P05-A13c, P05-A14c, P05-A15c</x:v>
      </x:c>
      <x:c r="M171"/>
      <x:c r="N171" s="21" t="b">
        <x:v>0</x:v>
      </x:c>
      <x:c r="O171" s="21" t="b">
        <x:v>1</x:v>
      </x:c>
      <x:c r="P171" t="str">
        <x:v>P05-CA04</x:v>
      </x:c>
      <x:c r="Q171" t="str">
        <x:v>P05-WP041</x:v>
      </x:c>
      <x:c r="R171" t="str">
        <x:v>Task</x:v>
      </x:c>
      <x:c r="S171" t="str">
        <x:v>Project-type realism</x:v>
      </x:c>
      <x:c r="T171" t="str">
        <x:v>Recovered by reconciliation to approved P05 milestone dates and published durations</x:v>
      </x:c>
      <x:c r="U171" s="54" t="n">
        <x:v>46097</x:v>
      </x:c>
      <x:c r="V171" s="54" t="n">
        <x:v>46115</x:v>
      </x:c>
      <x:c r="W171" s="54" t="n">
        <x:v>46097</x:v>
      </x:c>
      <x:c r="X171" s="54" t="n">
        <x:v>46115</x:v>
      </x:c>
      <x:c r="Y171" s="78" t="n">
        <x:v>0</x:v>
      </x:c>
    </x:row>
    <x:row r="172" ht="21" customHeight="1">
      <x:c r="A172" t="str">
        <x:v>P05-M3</x:v>
      </x:c>
      <x:c r="B172" t="str">
        <x:v>P05</x:v>
      </x:c>
      <x:c r="C172" t="str">
        <x:v>Substantial Completion</x:v>
      </x:c>
      <x:c r="D172" t="str">
        <x:v>1.05.4.1</x:v>
      </x:c>
      <x:c r="E172" s="54" t="n">
        <x:v>46115</x:v>
      </x:c>
      <x:c r="F172" s="54" t="n">
        <x:v>46115</x:v>
      </x:c>
      <x:c r="G172" s="54"/>
      <x:c r="H172" s="54"/>
      <x:c r="I172" s="54"/>
      <x:c r="J172" s="54"/>
      <x:c r="K172" t="n">
        <x:v>0</x:v>
      </x:c>
      <x:c r="L172" t="str">
        <x:v>P05-A16</x:v>
      </x:c>
      <x:c r="M172"/>
      <x:c r="N172" s="21" t="b">
        <x:v>1</x:v>
      </x:c>
      <x:c r="O172" s="21" t="b">
        <x:v>0</x:v>
      </x:c>
      <x:c r="P172" t="str">
        <x:v>P05-CA04</x:v>
      </x:c>
      <x:c r="Q172" t="str">
        <x:v>P05-WP041</x:v>
      </x:c>
      <x:c r="R172" t="str">
        <x:v>Milestone</x:v>
      </x:c>
      <x:c r="S172" t="str">
        <x:v>Approved milestone / interface milestone</x:v>
      </x:c>
      <x:c r="T172" t="str">
        <x:v>Source-explicit milestone date</x:v>
      </x:c>
      <x:c r="U172" s="54" t="n">
        <x:v>46115</x:v>
      </x:c>
      <x:c r="V172" s="54" t="n">
        <x:v>46115</x:v>
      </x:c>
      <x:c r="W172" s="54" t="n">
        <x:v>46157</x:v>
      </x:c>
      <x:c r="X172" s="54" t="n">
        <x:v>46157</x:v>
      </x:c>
      <x:c r="Y172" s="78" t="n">
        <x:v>30</x:v>
      </x:c>
    </x:row>
    <x:row r="173" ht="21" customHeight="1">
      <x:c r="A173" t="str">
        <x:v>P05-A17</x:v>
      </x:c>
      <x:c r="B173" t="str">
        <x:v>P05</x:v>
      </x:c>
      <x:c r="C173" t="str">
        <x:v>GIS &amp; Service Line Inventory Records Update / Documentation &amp; Turnover</x:v>
      </x:c>
      <x:c r="D173" t="str">
        <x:v>1.05.6.1</x:v>
      </x:c>
      <x:c r="E173" s="54" t="n">
        <x:v>46118</x:v>
      </x:c>
      <x:c r="F173" s="54" t="n">
        <x:v>46143</x:v>
      </x:c>
      <x:c r="G173" s="54"/>
      <x:c r="H173" s="54"/>
      <x:c r="I173" s="54"/>
      <x:c r="J173" s="54"/>
      <x:c r="K173" t="n">
        <x:v>20</x:v>
      </x:c>
      <x:c r="L173" t="str">
        <x:v>P05-A16</x:v>
      </x:c>
      <x:c r="M173"/>
      <x:c r="N173" s="21" t="b">
        <x:v>0</x:v>
      </x:c>
      <x:c r="O173" s="21" t="b">
        <x:v>1</x:v>
      </x:c>
      <x:c r="P173" t="str">
        <x:v>P05-CA06</x:v>
      </x:c>
      <x:c r="Q173" t="str">
        <x:v>P05-WP061</x:v>
      </x:c>
      <x:c r="R173" t="str">
        <x:v>Task</x:v>
      </x:c>
      <x:c r="S173" t="str">
        <x:v>Project-type realism</x:v>
      </x:c>
      <x:c r="T173" t="str">
        <x:v>Semantic WBS mapping corrected: documentation/GIS turnover belongs in Closeout</x:v>
      </x:c>
      <x:c r="U173" s="54" t="n">
        <x:v>46118</x:v>
      </x:c>
      <x:c r="V173" s="54" t="n">
        <x:v>46143</x:v>
      </x:c>
      <x:c r="W173" s="54" t="n">
        <x:v>46118</x:v>
      </x:c>
      <x:c r="X173" s="54" t="n">
        <x:v>46143</x:v>
      </x:c>
      <x:c r="Y173" s="78" t="n">
        <x:v>0</x:v>
      </x:c>
    </x:row>
    <x:row r="174" ht="21" customHeight="1">
      <x:c r="A174" t="str">
        <x:v>P05-A18</x:v>
      </x:c>
      <x:c r="B174" t="str">
        <x:v>P05</x:v>
      </x:c>
      <x:c r="C174" t="str">
        <x:v>Financial Closeout</x:v>
      </x:c>
      <x:c r="D174" t="str">
        <x:v>1.05.6.2</x:v>
      </x:c>
      <x:c r="E174" s="54" t="n">
        <x:v>46132</x:v>
      </x:c>
      <x:c r="F174" s="54" t="n">
        <x:v>46157</x:v>
      </x:c>
      <x:c r="G174" s="54"/>
      <x:c r="H174" s="54"/>
      <x:c r="I174" s="54"/>
      <x:c r="J174" s="54"/>
      <x:c r="K174" t="n">
        <x:v>20</x:v>
      </x:c>
      <x:c r="L174" t="str">
        <x:v>P05-A17</x:v>
      </x:c>
      <x:c r="M174"/>
      <x:c r="N174" s="21" t="b">
        <x:v>0</x:v>
      </x:c>
      <x:c r="O174" s="21" t="b">
        <x:v>1</x:v>
      </x:c>
      <x:c r="P174" t="str">
        <x:v>P05-CA06</x:v>
      </x:c>
      <x:c r="Q174" t="str">
        <x:v>P05-WP062</x:v>
      </x:c>
      <x:c r="R174" t="str">
        <x:v>Task</x:v>
      </x:c>
      <x:c r="S174" t="str">
        <x:v>Project-type realism</x:v>
      </x:c>
      <x:c r="T174" t="str">
        <x:v>Recovered by reconciliation to approved P05 milestone dates and published durations</x:v>
      </x:c>
      <x:c r="U174" s="54" t="n">
        <x:v>46132</x:v>
      </x:c>
      <x:c r="V174" s="54" t="n">
        <x:v>46157</x:v>
      </x:c>
      <x:c r="W174" s="54" t="n">
        <x:v>46132</x:v>
      </x:c>
      <x:c r="X174" s="54" t="n">
        <x:v>46157</x:v>
      </x:c>
      <x:c r="Y174" s="78" t="n">
        <x:v>0</x:v>
      </x:c>
    </x:row>
    <x:row r="175" ht="21" customHeight="1">
      <x:c r="A175" t="str">
        <x:v>P05-M4</x:v>
      </x:c>
      <x:c r="B175" t="str">
        <x:v>P05</x:v>
      </x:c>
      <x:c r="C175" t="str">
        <x:v>Final Completion</x:v>
      </x:c>
      <x:c r="D175" t="str">
        <x:v>1.05.4.1</x:v>
      </x:c>
      <x:c r="E175" s="54" t="n">
        <x:v>46157</x:v>
      </x:c>
      <x:c r="F175" s="54" t="n">
        <x:v>46157</x:v>
      </x:c>
      <x:c r="G175" s="54"/>
      <x:c r="H175" s="54"/>
      <x:c r="I175" s="54"/>
      <x:c r="J175" s="54"/>
      <x:c r="K175" t="n">
        <x:v>0</x:v>
      </x:c>
      <x:c r="L175" t="str">
        <x:v>P05-A18</x:v>
      </x:c>
      <x:c r="M175"/>
      <x:c r="N175" s="21" t="b">
        <x:v>1</x:v>
      </x:c>
      <x:c r="O175" s="21" t="b">
        <x:v>1</x:v>
      </x:c>
      <x:c r="P175" t="str">
        <x:v>P05-CA04</x:v>
      </x:c>
      <x:c r="Q175" t="str">
        <x:v>P05-WP041</x:v>
      </x:c>
      <x:c r="R175" t="str">
        <x:v>Milestone</x:v>
      </x:c>
      <x:c r="S175" t="str">
        <x:v>Approved milestone / interface milestone</x:v>
      </x:c>
      <x:c r="T175" t="str">
        <x:v>Source-explicit milestone date</x:v>
      </x:c>
      <x:c r="U175" s="54" t="n">
        <x:v>46157</x:v>
      </x:c>
      <x:c r="V175" s="54" t="n">
        <x:v>46157</x:v>
      </x:c>
      <x:c r="W175" s="54" t="n">
        <x:v>46157</x:v>
      </x:c>
      <x:c r="X175" s="54" t="n">
        <x:v>46157</x:v>
      </x:c>
      <x:c r="Y175" s="78" t="n">
        <x:v>0</x:v>
      </x:c>
    </x:row>
    <x:row r="176" ht="21" customHeight="1">
      <x:c r="A176" t="str">
        <x:v>P06-A1</x:v>
      </x:c>
      <x:c r="B176" t="str">
        <x:v>P06</x:v>
      </x:c>
      <x:c r="C176" t="str">
        <x:v>Needs Assessment</x:v>
      </x:c>
      <x:c r="D176" t="str">
        <x:v>1.06.1.1</x:v>
      </x:c>
      <x:c r="E176" s="54" t="n">
        <x:v>45870</x:v>
      </x:c>
      <x:c r="F176" s="54" t="n">
        <x:v>45890</x:v>
      </x:c>
      <x:c r="G176" s="54"/>
      <x:c r="H176" s="54"/>
      <x:c r="I176" s="54"/>
      <x:c r="J176" s="54"/>
      <x:c r="K176" t="n">
        <x:v>15</x:v>
      </x:c>
      <x:c r="L176" t="str"/>
      <x:c r="M176"/>
      <x:c r="N176" s="21" t="b">
        <x:v>0</x:v>
      </x:c>
      <x:c r="O176" s="21" t="b">
        <x:v>1</x:v>
      </x:c>
      <x:c r="P176" t="str">
        <x:v>P06-CA01</x:v>
      </x:c>
      <x:c r="Q176" t="str">
        <x:v>P06-WP011</x:v>
      </x:c>
      <x:c r="R176" t="str">
        <x:v>Task</x:v>
      </x:c>
      <x:c r="S176" t="str">
        <x:v>Project-type realism</x:v>
      </x:c>
      <x:c r="T176" t="str">
        <x:v>Source-derived / reconstructed network | Scenario dates calculated from reconstructed logic, not source recovered</x:v>
      </x:c>
      <x:c r="U176" s="54" t="n">
        <x:v>45870</x:v>
      </x:c>
      <x:c r="V176" s="54" t="n">
        <x:v>45890</x:v>
      </x:c>
      <x:c r="W176" s="54" t="n">
        <x:v>45870</x:v>
      </x:c>
      <x:c r="X176" s="54" t="n">
        <x:v>45890</x:v>
      </x:c>
      <x:c r="Y176" s="78" t="n">
        <x:v>0</x:v>
      </x:c>
    </x:row>
    <x:row r="177" ht="21" customHeight="1">
      <x:c r="A177" t="str">
        <x:v>P06-A2</x:v>
      </x:c>
      <x:c r="B177" t="str">
        <x:v>P06</x:v>
      </x:c>
      <x:c r="C177" t="str">
        <x:v>Project Definition</x:v>
      </x:c>
      <x:c r="D177" t="str">
        <x:v>1.06.1.2</x:v>
      </x:c>
      <x:c r="E177" s="54" t="n">
        <x:v>45891</x:v>
      </x:c>
      <x:c r="F177" s="54" t="n">
        <x:v>45904</x:v>
      </x:c>
      <x:c r="G177" s="54"/>
      <x:c r="H177" s="54"/>
      <x:c r="I177" s="54"/>
      <x:c r="J177" s="54"/>
      <x:c r="K177" t="n">
        <x:v>10</x:v>
      </x:c>
      <x:c r="L177" t="str">
        <x:v>P06-A1</x:v>
      </x:c>
      <x:c r="M177"/>
      <x:c r="N177" s="21" t="b">
        <x:v>0</x:v>
      </x:c>
      <x:c r="O177" s="21" t="b">
        <x:v>1</x:v>
      </x:c>
      <x:c r="P177" t="str">
        <x:v>P06-CA01</x:v>
      </x:c>
      <x:c r="Q177" t="str">
        <x:v>P06-WP012</x:v>
      </x:c>
      <x:c r="R177" t="str">
        <x:v>Task</x:v>
      </x:c>
      <x:c r="S177" t="str">
        <x:v>Project-type realism</x:v>
      </x:c>
      <x:c r="T177" t="str">
        <x:v>Source-derived / reconstructed network | Scenario dates calculated from reconstructed logic, not source recovered</x:v>
      </x:c>
      <x:c r="U177" s="54" t="n">
        <x:v>45891</x:v>
      </x:c>
      <x:c r="V177" s="54" t="n">
        <x:v>45904</x:v>
      </x:c>
      <x:c r="W177" s="54" t="n">
        <x:v>45891</x:v>
      </x:c>
      <x:c r="X177" s="54" t="n">
        <x:v>45904</x:v>
      </x:c>
      <x:c r="Y177" s="78" t="n">
        <x:v>0</x:v>
      </x:c>
    </x:row>
    <x:row r="178" ht="21" customHeight="1">
      <x:c r="A178" t="str">
        <x:v>P06-A3</x:v>
      </x:c>
      <x:c r="B178" t="str">
        <x:v>P06</x:v>
      </x:c>
      <x:c r="C178" t="str">
        <x:v>Preliminary Design</x:v>
      </x:c>
      <x:c r="D178" t="str">
        <x:v>1.06.2.1</x:v>
      </x:c>
      <x:c r="E178" s="54" t="n">
        <x:v>45905</x:v>
      </x:c>
      <x:c r="F178" s="54" t="n">
        <x:v>45932</x:v>
      </x:c>
      <x:c r="G178" s="54"/>
      <x:c r="H178" s="54"/>
      <x:c r="I178" s="54"/>
      <x:c r="J178" s="54"/>
      <x:c r="K178" t="n">
        <x:v>20</x:v>
      </x:c>
      <x:c r="L178" t="str">
        <x:v>P06-A2</x:v>
      </x:c>
      <x:c r="M178"/>
      <x:c r="N178" s="21" t="b">
        <x:v>0</x:v>
      </x:c>
      <x:c r="O178" s="21" t="b">
        <x:v>1</x:v>
      </x:c>
      <x:c r="P178" t="str">
        <x:v>P06-CA02</x:v>
      </x:c>
      <x:c r="Q178" t="str">
        <x:v>P06-WP021</x:v>
      </x:c>
      <x:c r="R178" t="str">
        <x:v>Task</x:v>
      </x:c>
      <x:c r="S178" t="str">
        <x:v>Project-type realism</x:v>
      </x:c>
      <x:c r="T178" t="str">
        <x:v>Source-derived / reconstructed network | Scenario dates calculated from reconstructed logic, not source recovered</x:v>
      </x:c>
      <x:c r="U178" s="54" t="n">
        <x:v>45905</x:v>
      </x:c>
      <x:c r="V178" s="54" t="n">
        <x:v>45932</x:v>
      </x:c>
      <x:c r="W178" s="54" t="n">
        <x:v>45905</x:v>
      </x:c>
      <x:c r="X178" s="54" t="n">
        <x:v>45932</x:v>
      </x:c>
      <x:c r="Y178" s="78" t="n">
        <x:v>0</x:v>
      </x:c>
    </x:row>
    <x:row r="179" ht="21" customHeight="1">
      <x:c r="A179" t="str">
        <x:v>P06-A4</x:v>
      </x:c>
      <x:c r="B179" t="str">
        <x:v>P06</x:v>
      </x:c>
      <x:c r="C179" t="str">
        <x:v>Final Design</x:v>
      </x:c>
      <x:c r="D179" t="str">
        <x:v>1.06.2.2</x:v>
      </x:c>
      <x:c r="E179" s="54" t="n">
        <x:v>45940</x:v>
      </x:c>
      <x:c r="F179" s="54" t="n">
        <x:v>45967</x:v>
      </x:c>
      <x:c r="G179" s="54"/>
      <x:c r="H179" s="54"/>
      <x:c r="I179" s="54"/>
      <x:c r="J179" s="54"/>
      <x:c r="K179" t="n">
        <x:v>20</x:v>
      </x:c>
      <x:c r="L179" t="str">
        <x:v>P06-A3</x:v>
      </x:c>
      <x:c r="M179"/>
      <x:c r="N179" s="21" t="b">
        <x:v>0</x:v>
      </x:c>
      <x:c r="O179" s="21" t="b">
        <x:v>1</x:v>
      </x:c>
      <x:c r="P179" t="str">
        <x:v>P06-CA02</x:v>
      </x:c>
      <x:c r="Q179" t="str">
        <x:v>P06-WP022</x:v>
      </x:c>
      <x:c r="R179" t="str">
        <x:v>Task</x:v>
      </x:c>
      <x:c r="S179" t="str">
        <x:v>Project-type realism; +5bd review lag in logic</x:v>
      </x:c>
      <x:c r="T179" t="str">
        <x:v>Source-derived / reconstructed network | Scenario dates calculated from reconstructed logic, not source recovered</x:v>
      </x:c>
      <x:c r="U179" s="54" t="n">
        <x:v>45940</x:v>
      </x:c>
      <x:c r="V179" s="54" t="n">
        <x:v>45967</x:v>
      </x:c>
      <x:c r="W179" s="54" t="n">
        <x:v>45940</x:v>
      </x:c>
      <x:c r="X179" s="54" t="n">
        <x:v>45967</x:v>
      </x:c>
      <x:c r="Y179" s="78" t="n">
        <x:v>0</x:v>
      </x:c>
    </x:row>
    <x:row r="180" ht="21" customHeight="1">
      <x:c r="A180" t="str">
        <x:v>P06-A5</x:v>
      </x:c>
      <x:c r="B180" t="str">
        <x:v>P06</x:v>
      </x:c>
      <x:c r="C180" t="str">
        <x:v>Bid Advertisement</x:v>
      </x:c>
      <x:c r="D180" t="str">
        <x:v>1.06.3.1</x:v>
      </x:c>
      <x:c r="E180" s="54" t="n">
        <x:v>45954</x:v>
      </x:c>
      <x:c r="F180" s="54" t="n">
        <x:v>45974</x:v>
      </x:c>
      <x:c r="G180" s="54"/>
      <x:c r="H180" s="54"/>
      <x:c r="I180" s="54"/>
      <x:c r="J180" s="54"/>
      <x:c r="K180" t="n">
        <x:v>15</x:v>
      </x:c>
      <x:c r="L180" t="str">
        <x:v>P06-A4</x:v>
      </x:c>
      <x:c r="M180"/>
      <x:c r="N180" s="21" t="b">
        <x:v>0</x:v>
      </x:c>
      <x:c r="O180" s="21" t="b">
        <x:v>1</x:v>
      </x:c>
      <x:c r="P180" t="str">
        <x:v>P06-CA03</x:v>
      </x:c>
      <x:c r="Q180" t="str">
        <x:v>P06-WP031</x:v>
      </x:c>
      <x:c r="R180" t="str">
        <x:v>Task</x:v>
      </x:c>
      <x:c r="S180" t="str">
        <x:v>Project-type realism</x:v>
      </x:c>
      <x:c r="T180" t="str">
        <x:v>Source-derived / reconstructed network | Scenario dates calculated from reconstructed logic, not source recovered</x:v>
      </x:c>
      <x:c r="U180" s="54" t="n">
        <x:v>45954</x:v>
      </x:c>
      <x:c r="V180" s="54" t="n">
        <x:v>45974</x:v>
      </x:c>
      <x:c r="W180" s="54" t="n">
        <x:v>45954</x:v>
      </x:c>
      <x:c r="X180" s="54" t="n">
        <x:v>45974</x:v>
      </x:c>
      <x:c r="Y180" s="78" t="n">
        <x:v>0</x:v>
      </x:c>
    </x:row>
    <x:row r="181" ht="21" customHeight="1">
      <x:c r="A181" t="str">
        <x:v>P06-M1</x:v>
      </x:c>
      <x:c r="B181" t="str">
        <x:v>P06</x:v>
      </x:c>
      <x:c r="C181" t="str">
        <x:v>Design Complete</x:v>
      </x:c>
      <x:c r="D181" t="str">
        <x:v>1.06.4.1</x:v>
      </x:c>
      <x:c r="E181" s="54" t="n">
        <x:v>45967</x:v>
      </x:c>
      <x:c r="F181" s="54" t="n">
        <x:v>45967</x:v>
      </x:c>
      <x:c r="G181" s="54"/>
      <x:c r="H181" s="54"/>
      <x:c r="I181" s="54"/>
      <x:c r="J181" s="54"/>
      <x:c r="K181" t="n">
        <x:v>0</x:v>
      </x:c>
      <x:c r="L181" t="str">
        <x:v>P06-A4</x:v>
      </x:c>
      <x:c r="M181"/>
      <x:c r="N181" s="21" t="b">
        <x:v>1</x:v>
      </x:c>
      <x:c r="O181" s="21" t="b">
        <x:v>0</x:v>
      </x:c>
      <x:c r="P181" t="str">
        <x:v>P06-CA04</x:v>
      </x:c>
      <x:c r="Q181" t="str">
        <x:v>P06-WP041</x:v>
      </x:c>
      <x:c r="R181" t="str">
        <x:v>Milestone</x:v>
      </x:c>
      <x:c r="S181" t="str">
        <x:v>Approved milestone / interface milestone</x:v>
      </x:c>
      <x:c r="T181" t="str">
        <x:v>Source-explicit milestone date | Scenario dates calculated from reconstructed logic, not source recovered</x:v>
      </x:c>
      <x:c r="U181" s="54" t="n">
        <x:v>45967</x:v>
      </x:c>
      <x:c r="V181" s="54" t="n">
        <x:v>45967</x:v>
      </x:c>
      <x:c r="W181" s="54" t="n">
        <x:v>46380</x:v>
      </x:c>
      <x:c r="X181" s="54" t="n">
        <x:v>46380</x:v>
      </x:c>
      <x:c r="Y181" s="78" t="n">
        <x:v>295</x:v>
      </x:c>
    </x:row>
    <x:row r="182" ht="21" customHeight="1">
      <x:c r="A182" t="str">
        <x:v>P06-A4b</x:v>
      </x:c>
      <x:c r="B182" t="str">
        <x:v>P06</x:v>
      </x:c>
      <x:c r="C182" t="str">
        <x:v>Regulatory Plan Review &amp; Approval</x:v>
      </x:c>
      <x:c r="D182" t="str">
        <x:v>1.06.2.2</x:v>
      </x:c>
      <x:c r="E182" s="54" t="n">
        <x:v>45968</x:v>
      </x:c>
      <x:c r="F182" s="54" t="n">
        <x:v>45981</x:v>
      </x:c>
      <x:c r="G182" s="54"/>
      <x:c r="H182" s="54"/>
      <x:c r="I182" s="54"/>
      <x:c r="J182" s="54"/>
      <x:c r="K182" t="n">
        <x:v>10</x:v>
      </x:c>
      <x:c r="L182" t="str">
        <x:v>P06-A4</x:v>
      </x:c>
      <x:c r="M182"/>
      <x:c r="N182" s="21" t="b">
        <x:v>0</x:v>
      </x:c>
      <x:c r="O182" s="21" t="b">
        <x:v>0</x:v>
      </x:c>
      <x:c r="P182" t="str">
        <x:v>P06-CA02</x:v>
      </x:c>
      <x:c r="Q182" t="str">
        <x:v>P06-WP022</x:v>
      </x:c>
      <x:c r="R182" t="str">
        <x:v>Task</x:v>
      </x:c>
      <x:c r="S182" t="str">
        <x:v>Project-type realism</x:v>
      </x:c>
      <x:c r="T182" t="str">
        <x:v>Source-derived / reconstructed network | Scenario dates calculated from reconstructed logic, not source recovered</x:v>
      </x:c>
      <x:c r="U182" s="54" t="n">
        <x:v>45968</x:v>
      </x:c>
      <x:c r="V182" s="54" t="n">
        <x:v>45981</x:v>
      </x:c>
      <x:c r="W182" s="54" t="n">
        <x:v>45989</x:v>
      </x:c>
      <x:c r="X182" s="54" t="n">
        <x:v>46002</x:v>
      </x:c>
      <x:c r="Y182" s="78" t="n">
        <x:v>15</x:v>
      </x:c>
    </x:row>
    <x:row r="183" ht="21" customHeight="1">
      <x:c r="A183" t="str">
        <x:v>P06-A5b</x:v>
      </x:c>
      <x:c r="B183" t="str">
        <x:v>P06</x:v>
      </x:c>
      <x:c r="C183" t="str">
        <x:v>Evaluation &amp; Award</x:v>
      </x:c>
      <x:c r="D183" t="str">
        <x:v>1.06.3.1</x:v>
      </x:c>
      <x:c r="E183" s="54" t="n">
        <x:v>45975</x:v>
      </x:c>
      <x:c r="F183" s="54" t="n">
        <x:v>45988</x:v>
      </x:c>
      <x:c r="G183" s="54"/>
      <x:c r="H183" s="54"/>
      <x:c r="I183" s="54"/>
      <x:c r="J183" s="54"/>
      <x:c r="K183" t="n">
        <x:v>10</x:v>
      </x:c>
      <x:c r="L183" t="str">
        <x:v>P06-A5</x:v>
      </x:c>
      <x:c r="M183"/>
      <x:c r="N183" s="21" t="b">
        <x:v>0</x:v>
      </x:c>
      <x:c r="O183" s="21" t="b">
        <x:v>1</x:v>
      </x:c>
      <x:c r="P183" t="str">
        <x:v>P06-CA03</x:v>
      </x:c>
      <x:c r="Q183" t="str">
        <x:v>P06-WP031</x:v>
      </x:c>
      <x:c r="R183" t="str">
        <x:v>Task</x:v>
      </x:c>
      <x:c r="S183" t="str">
        <x:v>Project-type realism</x:v>
      </x:c>
      <x:c r="T183" t="str">
        <x:v>Source-derived / reconstructed network | Scenario dates calculated from reconstructed logic, not source recovered</x:v>
      </x:c>
      <x:c r="U183" s="54" t="n">
        <x:v>45975</x:v>
      </x:c>
      <x:c r="V183" s="54" t="n">
        <x:v>45988</x:v>
      </x:c>
      <x:c r="W183" s="54" t="n">
        <x:v>45975</x:v>
      </x:c>
      <x:c r="X183" s="54" t="n">
        <x:v>45988</x:v>
      </x:c>
      <x:c r="Y183" s="78" t="n">
        <x:v>0</x:v>
      </x:c>
    </x:row>
    <x:row r="184" ht="21" customHeight="1">
      <x:c r="A184" t="str">
        <x:v>P06-A5c</x:v>
      </x:c>
      <x:c r="B184" t="str">
        <x:v>P06</x:v>
      </x:c>
      <x:c r="C184" t="str">
        <x:v>Governing Body Approval</x:v>
      </x:c>
      <x:c r="D184" t="str">
        <x:v>1.06.3.2</x:v>
      </x:c>
      <x:c r="E184" s="54" t="n">
        <x:v>45989</x:v>
      </x:c>
      <x:c r="F184" s="54" t="n">
        <x:v>46002</x:v>
      </x:c>
      <x:c r="G184" s="54"/>
      <x:c r="H184" s="54"/>
      <x:c r="I184" s="54"/>
      <x:c r="J184" s="54"/>
      <x:c r="K184" t="n">
        <x:v>10</x:v>
      </x:c>
      <x:c r="L184" t="str">
        <x:v>P06-A5b</x:v>
      </x:c>
      <x:c r="M184"/>
      <x:c r="N184" s="21" t="b">
        <x:v>0</x:v>
      </x:c>
      <x:c r="O184" s="21" t="b">
        <x:v>1</x:v>
      </x:c>
      <x:c r="P184" t="str">
        <x:v>P06-CA03</x:v>
      </x:c>
      <x:c r="Q184" t="str">
        <x:v>P06-WP032</x:v>
      </x:c>
      <x:c r="R184" t="str">
        <x:v>Task</x:v>
      </x:c>
      <x:c r="S184" t="str">
        <x:v>Project-type realism</x:v>
      </x:c>
      <x:c r="T184" t="str">
        <x:v>Source-derived / reconstructed network | Scenario dates calculated from reconstructed logic, not source recovered</x:v>
      </x:c>
      <x:c r="U184" s="54" t="n">
        <x:v>45989</x:v>
      </x:c>
      <x:c r="V184" s="54" t="n">
        <x:v>46002</x:v>
      </x:c>
      <x:c r="W184" s="54" t="n">
        <x:v>45989</x:v>
      </x:c>
      <x:c r="X184" s="54" t="n">
        <x:v>46002</x:v>
      </x:c>
      <x:c r="Y184" s="78" t="n">
        <x:v>0</x:v>
      </x:c>
    </x:row>
    <x:row r="185" ht="21" customHeight="1">
      <x:c r="A185" t="str">
        <x:v>P06-M2</x:v>
      </x:c>
      <x:c r="B185" t="str">
        <x:v>P06</x:v>
      </x:c>
      <x:c r="C185" t="str">
        <x:v>Contract Award / NTP</x:v>
      </x:c>
      <x:c r="D185" t="str">
        <x:v>1.06.4.1</x:v>
      </x:c>
      <x:c r="E185" s="54" t="n">
        <x:v>46002</x:v>
      </x:c>
      <x:c r="F185" s="54" t="n">
        <x:v>46002</x:v>
      </x:c>
      <x:c r="G185" s="54"/>
      <x:c r="H185" s="54"/>
      <x:c r="I185" s="54"/>
      <x:c r="J185" s="54"/>
      <x:c r="K185" t="n">
        <x:v>0</x:v>
      </x:c>
      <x:c r="L185" t="str">
        <x:v>P06-A5c, P06-A4b</x:v>
      </x:c>
      <x:c r="M185"/>
      <x:c r="N185" s="21" t="b">
        <x:v>1</x:v>
      </x:c>
      <x:c r="O185" s="21" t="b">
        <x:v>1</x:v>
      </x:c>
      <x:c r="P185" t="str">
        <x:v>P06-CA04</x:v>
      </x:c>
      <x:c r="Q185" t="str">
        <x:v>P06-WP041</x:v>
      </x:c>
      <x:c r="R185" t="str">
        <x:v>Milestone</x:v>
      </x:c>
      <x:c r="S185" t="str">
        <x:v>Approved milestone / interface milestone</x:v>
      </x:c>
      <x:c r="T185" t="str">
        <x:v>Source-explicit milestone date | Scenario dates calculated from reconstructed logic, not source recovered</x:v>
      </x:c>
      <x:c r="U185" s="54" t="n">
        <x:v>46002</x:v>
      </x:c>
      <x:c r="V185" s="54" t="n">
        <x:v>46002</x:v>
      </x:c>
      <x:c r="W185" s="54" t="n">
        <x:v>46002</x:v>
      </x:c>
      <x:c r="X185" s="54" t="n">
        <x:v>46002</x:v>
      </x:c>
      <x:c r="Y185" s="78" t="n">
        <x:v>0</x:v>
      </x:c>
    </x:row>
    <x:row r="186" ht="21" customHeight="1">
      <x:c r="A186" t="str">
        <x:v>P06-A10</x:v>
      </x:c>
      <x:c r="B186" t="str">
        <x:v>P06</x:v>
      </x:c>
      <x:c r="C186" t="str">
        <x:v>Meter/Endpoint Inventory &amp; Route Planning</x:v>
      </x:c>
      <x:c r="D186" t="str">
        <x:v>1.06.1.1</x:v>
      </x:c>
      <x:c r="E186" s="54" t="n">
        <x:v>46003</x:v>
      </x:c>
      <x:c r="F186" s="54" t="n">
        <x:v>46030</x:v>
      </x:c>
      <x:c r="G186" s="54"/>
      <x:c r="H186" s="54"/>
      <x:c r="I186" s="54"/>
      <x:c r="J186" s="54"/>
      <x:c r="K186" t="n">
        <x:v>20</x:v>
      </x:c>
      <x:c r="L186" t="str">
        <x:v>P06-M2</x:v>
      </x:c>
      <x:c r="M186"/>
      <x:c r="N186" s="21" t="b">
        <x:v>0</x:v>
      </x:c>
      <x:c r="O186" s="21" t="b">
        <x:v>0</x:v>
      </x:c>
      <x:c r="P186" t="str">
        <x:v>P06-CA01</x:v>
      </x:c>
      <x:c r="Q186" t="str">
        <x:v>P06-WP011</x:v>
      </x:c>
      <x:c r="R186" t="str">
        <x:v>Task</x:v>
      </x:c>
      <x:c r="S186" t="str">
        <x:v>Project-type realism</x:v>
      </x:c>
      <x:c r="T186" t="str">
        <x:v>Source-derived / reconstructed network | Scenario dates calculated from reconstructed logic, not source recovered</x:v>
      </x:c>
      <x:c r="U186" s="54" t="n">
        <x:v>46003</x:v>
      </x:c>
      <x:c r="V186" s="54" t="n">
        <x:v>46030</x:v>
      </x:c>
      <x:c r="W186" s="54" t="n">
        <x:v>46353</x:v>
      </x:c>
      <x:c r="X186" s="54" t="n">
        <x:v>46380</x:v>
      </x:c>
      <x:c r="Y186" s="78" t="n">
        <x:v>250</x:v>
      </x:c>
    </x:row>
    <x:row r="187" ht="21" customHeight="1">
      <x:c r="A187" t="str">
        <x:v>P06-A11</x:v>
      </x:c>
      <x:c r="B187" t="str">
        <x:v>P06</x:v>
      </x:c>
      <x:c r="C187" t="str">
        <x:v>Meter/Endpoint Submittal Review</x:v>
      </x:c>
      <x:c r="D187" t="str">
        <x:v>1.06.3.1</x:v>
      </x:c>
      <x:c r="E187" s="54" t="n">
        <x:v>46003</x:v>
      </x:c>
      <x:c r="F187" s="54" t="n">
        <x:v>46023</x:v>
      </x:c>
      <x:c r="G187" s="54"/>
      <x:c r="H187" s="54"/>
      <x:c r="I187" s="54"/>
      <x:c r="J187" s="54"/>
      <x:c r="K187" t="n">
        <x:v>15</x:v>
      </x:c>
      <x:c r="L187" t="str">
        <x:v>P06-M2</x:v>
      </x:c>
      <x:c r="M187"/>
      <x:c r="N187" s="21" t="b">
        <x:v>0</x:v>
      </x:c>
      <x:c r="O187" s="21" t="b">
        <x:v>1</x:v>
      </x:c>
      <x:c r="P187" t="str">
        <x:v>P06-CA03</x:v>
      </x:c>
      <x:c r="Q187" t="str">
        <x:v>P06-WP031</x:v>
      </x:c>
      <x:c r="R187" t="str">
        <x:v>Task</x:v>
      </x:c>
      <x:c r="S187" t="str">
        <x:v>Synthetic, industry-informed</x:v>
      </x:c>
      <x:c r="T187" t="str">
        <x:v>Source-derived / reconstructed network | Scenario dates calculated from reconstructed logic, not source recovered</x:v>
      </x:c>
      <x:c r="U187" s="54" t="n">
        <x:v>46003</x:v>
      </x:c>
      <x:c r="V187" s="54" t="n">
        <x:v>46023</x:v>
      </x:c>
      <x:c r="W187" s="54" t="n">
        <x:v>46003</x:v>
      </x:c>
      <x:c r="X187" s="54" t="n">
        <x:v>46023</x:v>
      </x:c>
      <x:c r="Y187" s="78" t="n">
        <x:v>0</x:v>
      </x:c>
    </x:row>
    <x:row r="188" ht="21" customHeight="1">
      <x:c r="A188" t="str">
        <x:v>P06-A15</x:v>
      </x:c>
      <x:c r="B188" t="str">
        <x:v>P06</x:v>
      </x:c>
      <x:c r="C188" t="str">
        <x:v>Pilot Deployment Planning &amp; Customer Selection</x:v>
      </x:c>
      <x:c r="D188" t="str">
        <x:v>1.06.4.1</x:v>
      </x:c>
      <x:c r="E188" s="54" t="n">
        <x:v>46003</x:v>
      </x:c>
      <x:c r="F188" s="54" t="n">
        <x:v>46016</x:v>
      </x:c>
      <x:c r="G188" s="54"/>
      <x:c r="H188" s="54"/>
      <x:c r="I188" s="54"/>
      <x:c r="J188" s="54"/>
      <x:c r="K188" t="n">
        <x:v>10</x:v>
      </x:c>
      <x:c r="L188" t="str">
        <x:v>P06-M2</x:v>
      </x:c>
      <x:c r="M188"/>
      <x:c r="N188" s="21" t="b">
        <x:v>0</x:v>
      </x:c>
      <x:c r="O188" s="21" t="b">
        <x:v>0</x:v>
      </x:c>
      <x:c r="P188" t="str">
        <x:v>P06-CA04</x:v>
      </x:c>
      <x:c r="Q188" t="str">
        <x:v>P06-WP041</x:v>
      </x:c>
      <x:c r="R188" t="str">
        <x:v>Task</x:v>
      </x:c>
      <x:c r="S188" t="str">
        <x:v>Project-type realism</x:v>
      </x:c>
      <x:c r="T188" t="str">
        <x:v>Source-derived / reconstructed network | Scenario dates calculated from reconstructed logic, not source recovered</x:v>
      </x:c>
      <x:c r="U188" s="54" t="n">
        <x:v>46003</x:v>
      </x:c>
      <x:c r="V188" s="54" t="n">
        <x:v>46016</x:v>
      </x:c>
      <x:c r="W188" s="54" t="n">
        <x:v>46115</x:v>
      </x:c>
      <x:c r="X188" s="54" t="n">
        <x:v>46128</x:v>
      </x:c>
      <x:c r="Y188" s="78" t="n">
        <x:v>80</x:v>
      </x:c>
    </x:row>
    <x:row r="189" ht="21" customHeight="1">
      <x:c r="A189" t="str">
        <x:v>P06-A6</x:v>
      </x:c>
      <x:c r="B189" t="str">
        <x:v>P06</x:v>
      </x:c>
      <x:c r="C189" t="str">
        <x:v>Contractor Mobilization</x:v>
      </x:c>
      <x:c r="D189" t="str">
        <x:v>1.06.3.2</x:v>
      </x:c>
      <x:c r="E189" s="54" t="n">
        <x:v>46003</x:v>
      </x:c>
      <x:c r="F189" s="54" t="n">
        <x:v>46016</x:v>
      </x:c>
      <x:c r="G189" s="54"/>
      <x:c r="H189" s="54"/>
      <x:c r="I189" s="54"/>
      <x:c r="J189" s="54"/>
      <x:c r="K189" t="n">
        <x:v>10</x:v>
      </x:c>
      <x:c r="L189" t="str">
        <x:v>P06-M2</x:v>
      </x:c>
      <x:c r="M189"/>
      <x:c r="N189" s="21" t="b">
        <x:v>0</x:v>
      </x:c>
      <x:c r="O189" s="21" t="b">
        <x:v>0</x:v>
      </x:c>
      <x:c r="P189" t="str">
        <x:v>P06-CA03</x:v>
      </x:c>
      <x:c r="Q189" t="str">
        <x:v>P06-WP032</x:v>
      </x:c>
      <x:c r="R189" t="str">
        <x:v>Task</x:v>
      </x:c>
      <x:c r="S189" t="str">
        <x:v>Project-type realism</x:v>
      </x:c>
      <x:c r="T189" t="str">
        <x:v>Source-derived / reconstructed network | Scenario dates calculated from reconstructed logic, not source recovered</x:v>
      </x:c>
      <x:c r="U189" s="54" t="n">
        <x:v>46003</x:v>
      </x:c>
      <x:c r="V189" s="54" t="n">
        <x:v>46016</x:v>
      </x:c>
      <x:c r="W189" s="54" t="n">
        <x:v>46115</x:v>
      </x:c>
      <x:c r="X189" s="54" t="n">
        <x:v>46128</x:v>
      </x:c>
      <x:c r="Y189" s="78" t="n">
        <x:v>80</x:v>
      </x:c>
    </x:row>
    <x:row r="190" ht="21" customHeight="1">
      <x:c r="A190" t="str">
        <x:v>P06-A7</x:v>
      </x:c>
      <x:c r="B190" t="str">
        <x:v>P06</x:v>
      </x:c>
      <x:c r="C190" t="str">
        <x:v>Communications/Network Design</x:v>
      </x:c>
      <x:c r="D190" t="str">
        <x:v>1.06.2.2</x:v>
      </x:c>
      <x:c r="E190" s="54" t="n">
        <x:v>46003</x:v>
      </x:c>
      <x:c r="F190" s="54" t="n">
        <x:v>46030</x:v>
      </x:c>
      <x:c r="G190" s="54"/>
      <x:c r="H190" s="54"/>
      <x:c r="I190" s="54"/>
      <x:c r="J190" s="54"/>
      <x:c r="K190" t="n">
        <x:v>20</x:v>
      </x:c>
      <x:c r="L190" t="str">
        <x:v>P06-M2</x:v>
      </x:c>
      <x:c r="M190"/>
      <x:c r="N190" s="21" t="b">
        <x:v>0</x:v>
      </x:c>
      <x:c r="O190" s="21" t="b">
        <x:v>0</x:v>
      </x:c>
      <x:c r="P190" t="str">
        <x:v>P06-CA02</x:v>
      </x:c>
      <x:c r="Q190" t="str">
        <x:v>P06-WP022</x:v>
      </x:c>
      <x:c r="R190" t="str">
        <x:v>Task</x:v>
      </x:c>
      <x:c r="S190" t="str">
        <x:v>Project-type realism</x:v>
      </x:c>
      <x:c r="T190" t="str">
        <x:v>Source-derived / reconstructed network | Scenario dates calculated from reconstructed logic, not source recovered</x:v>
      </x:c>
      <x:c r="U190" s="54" t="n">
        <x:v>46003</x:v>
      </x:c>
      <x:c r="V190" s="54" t="n">
        <x:v>46030</x:v>
      </x:c>
      <x:c r="W190" s="54" t="n">
        <x:v>46031</x:v>
      </x:c>
      <x:c r="X190" s="54" t="n">
        <x:v>46058</x:v>
      </x:c>
      <x:c r="Y190" s="78" t="n">
        <x:v>20</x:v>
      </x:c>
    </x:row>
    <x:row r="191" ht="21" customHeight="1">
      <x:c r="A191" t="str">
        <x:v>P06-A8</x:v>
      </x:c>
      <x:c r="B191" t="str">
        <x:v>P06</x:v>
      </x:c>
      <x:c r="C191" t="str">
        <x:v>Cybersecurity &amp; IT Coordination</x:v>
      </x:c>
      <x:c r="D191" t="str">
        <x:v>1.06.2.2</x:v>
      </x:c>
      <x:c r="E191" s="54" t="n">
        <x:v>46003</x:v>
      </x:c>
      <x:c r="F191" s="54" t="n">
        <x:v>46023</x:v>
      </x:c>
      <x:c r="G191" s="54"/>
      <x:c r="H191" s="54"/>
      <x:c r="I191" s="54"/>
      <x:c r="J191" s="54"/>
      <x:c r="K191" t="n">
        <x:v>15</x:v>
      </x:c>
      <x:c r="L191" t="str">
        <x:v>P06-M2</x:v>
      </x:c>
      <x:c r="M191"/>
      <x:c r="N191" s="21" t="b">
        <x:v>0</x:v>
      </x:c>
      <x:c r="O191" s="21" t="b">
        <x:v>0</x:v>
      </x:c>
      <x:c r="P191" t="str">
        <x:v>P06-CA02</x:v>
      </x:c>
      <x:c r="Q191" t="str">
        <x:v>P06-WP022</x:v>
      </x:c>
      <x:c r="R191" t="str">
        <x:v>Task</x:v>
      </x:c>
      <x:c r="S191" t="str">
        <x:v>Project-type realism</x:v>
      </x:c>
      <x:c r="T191" t="str">
        <x:v>Source-derived / reconstructed network | Scenario dates calculated from reconstructed logic, not source recovered</x:v>
      </x:c>
      <x:c r="U191" s="54" t="n">
        <x:v>46003</x:v>
      </x:c>
      <x:c r="V191" s="54" t="n">
        <x:v>46023</x:v>
      </x:c>
      <x:c r="W191" s="54" t="n">
        <x:v>46080</x:v>
      </x:c>
      <x:c r="X191" s="54" t="n">
        <x:v>46100</x:v>
      </x:c>
      <x:c r="Y191" s="78" t="n">
        <x:v>55</x:v>
      </x:c>
    </x:row>
    <x:row r="192" ht="21" customHeight="1">
      <x:c r="A192" t="str">
        <x:v>P06-A12</x:v>
      </x:c>
      <x:c r="B192" t="str">
        <x:v>P06</x:v>
      </x:c>
      <x:c r="C192" t="str">
        <x:v>Meter/Endpoint Fabrication</x:v>
      </x:c>
      <x:c r="D192" t="str">
        <x:v>1.06.3.2</x:v>
      </x:c>
      <x:c r="E192" s="54" t="n">
        <x:v>46024</x:v>
      </x:c>
      <x:c r="F192" s="54" t="n">
        <x:v>46107</x:v>
      </x:c>
      <x:c r="G192" s="54"/>
      <x:c r="H192" s="54"/>
      <x:c r="I192" s="54"/>
      <x:c r="J192" s="54"/>
      <x:c r="K192" t="n">
        <x:v>60</x:v>
      </x:c>
      <x:c r="L192" t="str">
        <x:v>P06-A11</x:v>
      </x:c>
      <x:c r="M192"/>
      <x:c r="N192" s="21" t="b">
        <x:v>0</x:v>
      </x:c>
      <x:c r="O192" s="21" t="b">
        <x:v>1</x:v>
      </x:c>
      <x:c r="P192" t="str">
        <x:v>P06-CA03</x:v>
      </x:c>
      <x:c r="Q192" t="str">
        <x:v>P06-WP032</x:v>
      </x:c>
      <x:c r="R192" t="str">
        <x:v>Task</x:v>
      </x:c>
      <x:c r="S192" t="str">
        <x:v>Synthetic, industry-informed</x:v>
      </x:c>
      <x:c r="T192" t="str">
        <x:v>Semantic WBS mapping corrected: meter/endpoint fabrication is procurement | Scenario dates calculated from reconstructed logic, not source recovered</x:v>
      </x:c>
      <x:c r="U192" s="54" t="n">
        <x:v>46024</x:v>
      </x:c>
      <x:c r="V192" s="54" t="n">
        <x:v>46107</x:v>
      </x:c>
      <x:c r="W192" s="54" t="n">
        <x:v>46024</x:v>
      </x:c>
      <x:c r="X192" s="54" t="n">
        <x:v>46107</x:v>
      </x:c>
      <x:c r="Y192" s="78" t="n">
        <x:v>0</x:v>
      </x:c>
    </x:row>
    <x:row r="193" ht="21" customHeight="1">
      <x:c r="A193" t="str">
        <x:v>P06-A9</x:v>
      </x:c>
      <x:c r="B193" t="str">
        <x:v>P06</x:v>
      </x:c>
      <x:c r="C193" t="str">
        <x:v>Head-End / Meter Data Management System Configuration</x:v>
      </x:c>
      <x:c r="D193" t="str">
        <x:v>1.06.4.2</x:v>
      </x:c>
      <x:c r="E193" s="54" t="n">
        <x:v>46031</x:v>
      </x:c>
      <x:c r="F193" s="54" t="n">
        <x:v>46072</x:v>
      </x:c>
      <x:c r="G193" s="54"/>
      <x:c r="H193" s="54"/>
      <x:c r="I193" s="54"/>
      <x:c r="J193" s="54"/>
      <x:c r="K193" t="n">
        <x:v>30</x:v>
      </x:c>
      <x:c r="L193" t="str">
        <x:v>P06-A7</x:v>
      </x:c>
      <x:c r="M193"/>
      <x:c r="N193" s="21" t="b">
        <x:v>0</x:v>
      </x:c>
      <x:c r="O193" s="21" t="b">
        <x:v>0</x:v>
      </x:c>
      <x:c r="P193" t="str">
        <x:v>P06-CA04</x:v>
      </x:c>
      <x:c r="Q193" t="str">
        <x:v>P06-WP042</x:v>
      </x:c>
      <x:c r="R193" t="str">
        <x:v>Task</x:v>
      </x:c>
      <x:c r="S193" t="str">
        <x:v>Synthetic, industry-informed</x:v>
      </x:c>
      <x:c r="T193" t="str">
        <x:v>Source-derived / reconstructed network | Scenario dates calculated from reconstructed logic, not source recovered</x:v>
      </x:c>
      <x:c r="U193" s="54" t="n">
        <x:v>46031</x:v>
      </x:c>
      <x:c r="V193" s="54" t="n">
        <x:v>46072</x:v>
      </x:c>
      <x:c r="W193" s="54" t="n">
        <x:v>46059</x:v>
      </x:c>
      <x:c r="X193" s="54" t="n">
        <x:v>46100</x:v>
      </x:c>
      <x:c r="Y193" s="78" t="n">
        <x:v>20</x:v>
      </x:c>
    </x:row>
    <x:row r="194" ht="21" customHeight="1">
      <x:c r="A194" t="str">
        <x:v>P06-A14</x:v>
      </x:c>
      <x:c r="B194" t="str">
        <x:v>P06</x:v>
      </x:c>
      <x:c r="C194" t="str">
        <x:v>System Integration — head-end / MDM / billing</x:v>
      </x:c>
      <x:c r="D194" t="str">
        <x:v>1.06.4.2</x:v>
      </x:c>
      <x:c r="E194" s="54" t="n">
        <x:v>46073</x:v>
      </x:c>
      <x:c r="F194" s="54" t="n">
        <x:v>46100</x:v>
      </x:c>
      <x:c r="G194" s="54"/>
      <x:c r="H194" s="54"/>
      <x:c r="I194" s="54"/>
      <x:c r="J194" s="54"/>
      <x:c r="K194" t="n">
        <x:v>20</x:v>
      </x:c>
      <x:c r="L194" t="str">
        <x:v>P06-A9, P06-A8</x:v>
      </x:c>
      <x:c r="M194"/>
      <x:c r="N194" s="21" t="b">
        <x:v>0</x:v>
      </x:c>
      <x:c r="O194" s="21" t="b">
        <x:v>0</x:v>
      </x:c>
      <x:c r="P194" t="str">
        <x:v>P06-CA04</x:v>
      </x:c>
      <x:c r="Q194" t="str">
        <x:v>P06-WP042</x:v>
      </x:c>
      <x:c r="R194" t="str">
        <x:v>Task</x:v>
      </x:c>
      <x:c r="S194" t="str">
        <x:v>Project-type realism</x:v>
      </x:c>
      <x:c r="T194" t="str">
        <x:v>Semantic WBS mapping corrected: head-end/MDM/billing integration maps to Head-End System Integration | Scenario dates calculated from reconstructed logic, not source recovered</x:v>
      </x:c>
      <x:c r="U194" s="54" t="n">
        <x:v>46073</x:v>
      </x:c>
      <x:c r="V194" s="54" t="n">
        <x:v>46100</x:v>
      </x:c>
      <x:c r="W194" s="54" t="n">
        <x:v>46101</x:v>
      </x:c>
      <x:c r="X194" s="54" t="n">
        <x:v>46128</x:v>
      </x:c>
      <x:c r="Y194" s="78" t="n">
        <x:v>20</x:v>
      </x:c>
    </x:row>
    <x:row r="195" ht="21" customHeight="1">
      <x:c r="A195" t="str">
        <x:v>P06-A13</x:v>
      </x:c>
      <x:c r="B195" t="str">
        <x:v>P06</x:v>
      </x:c>
      <x:c r="C195" t="str">
        <x:v>Meter/Endpoint Delivery</x:v>
      </x:c>
      <x:c r="D195" t="str">
        <x:v>1.06.3.2</x:v>
      </x:c>
      <x:c r="E195" s="54" t="n">
        <x:v>46108</x:v>
      </x:c>
      <x:c r="F195" s="54" t="n">
        <x:v>46121</x:v>
      </x:c>
      <x:c r="G195" s="54"/>
      <x:c r="H195" s="54"/>
      <x:c r="I195" s="54"/>
      <x:c r="J195" s="54"/>
      <x:c r="K195" t="n">
        <x:v>10</x:v>
      </x:c>
      <x:c r="L195" t="str">
        <x:v>P06-A12</x:v>
      </x:c>
      <x:c r="M195"/>
      <x:c r="N195" s="21" t="b">
        <x:v>0</x:v>
      </x:c>
      <x:c r="O195" s="21" t="b">
        <x:v>1</x:v>
      </x:c>
      <x:c r="P195" t="str">
        <x:v>P06-CA03</x:v>
      </x:c>
      <x:c r="Q195" t="str">
        <x:v>P06-WP032</x:v>
      </x:c>
      <x:c r="R195" t="str">
        <x:v>Task</x:v>
      </x:c>
      <x:c r="S195" t="str">
        <x:v>Synthetic, industry-informed</x:v>
      </x:c>
      <x:c r="T195" t="str">
        <x:v>Semantic WBS mapping corrected: meter/endpoint delivery is procurement | Scenario dates calculated from reconstructed logic, not source recovered</x:v>
      </x:c>
      <x:c r="U195" s="54" t="n">
        <x:v>46108</x:v>
      </x:c>
      <x:c r="V195" s="54" t="n">
        <x:v>46121</x:v>
      </x:c>
      <x:c r="W195" s="54" t="n">
        <x:v>46108</x:v>
      </x:c>
      <x:c r="X195" s="54" t="n">
        <x:v>46121</x:v>
      </x:c>
      <x:c r="Y195" s="78" t="n">
        <x:v>0</x:v>
      </x:c>
    </x:row>
    <x:row r="196" ht="21" customHeight="1">
      <x:c r="A196" t="str">
        <x:v>P06-APILOTSTAGE</x:v>
      </x:c>
      <x:c r="B196" t="str">
        <x:v>P06</x:v>
      </x:c>
      <x:c r="C196" t="str">
        <x:v>Pilot Equipment Staging &amp; Configuration</x:v>
      </x:c>
      <x:c r="D196" t="str">
        <x:v>1.06.4.1</x:v>
      </x:c>
      <x:c r="E196" s="54" t="n">
        <x:v>46122</x:v>
      </x:c>
      <x:c r="F196" s="54" t="n">
        <x:v>46128</x:v>
      </x:c>
      <x:c r="G196" s="54"/>
      <x:c r="H196" s="54"/>
      <x:c r="I196" s="54"/>
      <x:c r="J196" s="54"/>
      <x:c r="K196" t="n">
        <x:v>5</x:v>
      </x:c>
      <x:c r="L196" t="str">
        <x:v>P06-A13</x:v>
      </x:c>
      <x:c r="M196"/>
      <x:c r="N196" s="21" t="b">
        <x:v>0</x:v>
      </x:c>
      <x:c r="O196" s="21" t="b">
        <x:v>1</x:v>
      </x:c>
      <x:c r="P196" t="str">
        <x:v>P06-CA04</x:v>
      </x:c>
      <x:c r="Q196" t="str">
        <x:v>P06-WP041</x:v>
      </x:c>
      <x:c r="R196" t="str">
        <x:v>Task</x:v>
      </x:c>
      <x:c r="S196" t="str">
        <x:v>Approved P06 v2 added prerequisite</x:v>
      </x:c>
      <x:c r="T196" t="str">
        <x:v>Source-derived / reconstructed network | Scenario dates calculated from reconstructed logic, not source recovered</x:v>
      </x:c>
      <x:c r="U196" s="54" t="n">
        <x:v>46122</x:v>
      </x:c>
      <x:c r="V196" s="54" t="n">
        <x:v>46128</x:v>
      </x:c>
      <x:c r="W196" s="54" t="n">
        <x:v>46122</x:v>
      </x:c>
      <x:c r="X196" s="54" t="n">
        <x:v>46128</x:v>
      </x:c>
      <x:c r="Y196" s="78" t="n">
        <x:v>0</x:v>
      </x:c>
    </x:row>
    <x:row r="197" ht="21" customHeight="1">
      <x:c r="A197" t="str">
        <x:v>P06-A16</x:v>
      </x:c>
      <x:c r="B197" t="str">
        <x:v>P06</x:v>
      </x:c>
      <x:c r="C197" t="str">
        <x:v>Pilot Deployment</x:v>
      </x:c>
      <x:c r="D197" t="str">
        <x:v>1.06.4.1</x:v>
      </x:c>
      <x:c r="E197" s="54" t="n">
        <x:v>46129</x:v>
      </x:c>
      <x:c r="F197" s="54" t="n">
        <x:v>46149</x:v>
      </x:c>
      <x:c r="G197" s="54"/>
      <x:c r="H197" s="54"/>
      <x:c r="I197" s="54"/>
      <x:c r="J197" s="54"/>
      <x:c r="K197" t="n">
        <x:v>15</x:v>
      </x:c>
      <x:c r="L197" t="str">
        <x:v>P06-A14, P06-A15, P06-APILOTSTAGE, P06-A8, P06-A6, P06-MPILOTREADY</x:v>
      </x:c>
      <x:c r="M197"/>
      <x:c r="N197" s="21" t="b">
        <x:v>0</x:v>
      </x:c>
      <x:c r="O197" s="21" t="b">
        <x:v>1</x:v>
      </x:c>
      <x:c r="P197" t="str">
        <x:v>P06-CA04</x:v>
      </x:c>
      <x:c r="Q197" t="str">
        <x:v>P06-WP041</x:v>
      </x:c>
      <x:c r="R197" t="str">
        <x:v>Task</x:v>
      </x:c>
      <x:c r="S197" t="str">
        <x:v>Synthetic, industry-informed</x:v>
      </x:c>
      <x:c r="T197" t="str">
        <x:v>BLOCKED: source-versus-reconstructed milestone/sequence inconsistency; see focused reconciliation QA report | Scenario dates calculated from reconstructed logic, not source recovered</x:v>
      </x:c>
      <x:c r="U197" s="54" t="n">
        <x:v>46129</x:v>
      </x:c>
      <x:c r="V197" s="54" t="n">
        <x:v>46149</x:v>
      </x:c>
      <x:c r="W197" s="54" t="n">
        <x:v>46129</x:v>
      </x:c>
      <x:c r="X197" s="54" t="n">
        <x:v>46149</x:v>
      </x:c>
      <x:c r="Y197" s="78" t="n">
        <x:v>0</x:v>
      </x:c>
    </x:row>
    <x:row r="198" ht="21" customHeight="1">
      <x:c r="A198" t="str">
        <x:v>P06-AFIRSTPILOT</x:v>
      </x:c>
      <x:c r="B198" t="str">
        <x:v>P06</x:v>
      </x:c>
      <x:c r="C198" t="str">
        <x:v>Install First Pilot Endpoints</x:v>
      </x:c>
      <x:c r="D198" t="str">
        <x:v>1.06.4.1</x:v>
      </x:c>
      <x:c r="E198" s="54" t="n">
        <x:v>46129</x:v>
      </x:c>
      <x:c r="F198" s="54" t="n">
        <x:v>46132</x:v>
      </x:c>
      <x:c r="G198" s="54"/>
      <x:c r="H198" s="54"/>
      <x:c r="I198" s="54"/>
      <x:c r="J198" s="54"/>
      <x:c r="K198" t="n">
        <x:v>2</x:v>
      </x:c>
      <x:c r="L198" t="str">
        <x:v>P06-A16</x:v>
      </x:c>
      <x:c r="M198"/>
      <x:c r="N198" s="21" t="b">
        <x:v>0</x:v>
      </x:c>
      <x:c r="O198" s="21" t="b">
        <x:v>0</x:v>
      </x:c>
      <x:c r="P198" t="str">
        <x:v>P06-CA04</x:v>
      </x:c>
      <x:c r="Q198" t="str">
        <x:v>P06-WP041</x:v>
      </x:c>
      <x:c r="R198" t="str">
        <x:v>Task</x:v>
      </x:c>
      <x:c r="S198" t="str">
        <x:v>Approved P06 v2 explicit completed-scope activity</x:v>
      </x:c>
      <x:c r="T198" t="str">
        <x:v>BLOCKED: source-versus-reconstructed milestone/sequence inconsistency; see focused reconciliation QA report | Scenario dates calculated from reconstructed logic, not source recovered</x:v>
      </x:c>
      <x:c r="U198" s="54" t="n">
        <x:v>46129</x:v>
      </x:c>
      <x:c r="V198" s="54" t="n">
        <x:v>46132</x:v>
      </x:c>
      <x:c r="W198" s="54" t="n">
        <x:v>46379</x:v>
      </x:c>
      <x:c r="X198" s="54" t="n">
        <x:v>46380</x:v>
      </x:c>
      <x:c r="Y198" s="78" t="n">
        <x:v>178</x:v>
      </x:c>
    </x:row>
    <x:row r="199" ht="21" customHeight="1">
      <x:c r="A199" t="str">
        <x:v>P06-MFIRSTPILOT</x:v>
      </x:c>
      <x:c r="B199" t="str">
        <x:v>P06</x:v>
      </x:c>
      <x:c r="C199" t="str">
        <x:v>First Pilot Endpoints Live</x:v>
      </x:c>
      <x:c r="D199" t="str">
        <x:v>1.06.5.1</x:v>
      </x:c>
      <x:c r="E199" s="54" t="n">
        <x:v>46132</x:v>
      </x:c>
      <x:c r="F199" s="54" t="n">
        <x:v>46132</x:v>
      </x:c>
      <x:c r="G199" s="54"/>
      <x:c r="H199" s="54"/>
      <x:c r="I199" s="54"/>
      <x:c r="J199" s="54"/>
      <x:c r="K199" t="n">
        <x:v>0</x:v>
      </x:c>
      <x:c r="L199" t="str">
        <x:v>P06-AFIRSTPILOT</x:v>
      </x:c>
      <x:c r="M199"/>
      <x:c r="N199" s="21" t="b">
        <x:v>1</x:v>
      </x:c>
      <x:c r="O199" s="21" t="b">
        <x:v>0</x:v>
      </x:c>
      <x:c r="P199" t="str">
        <x:v>P06-CA05</x:v>
      </x:c>
      <x:c r="Q199" t="str">
        <x:v>P06-WP051</x:v>
      </x:c>
      <x:c r="R199" t="str">
        <x:v>Milestone</x:v>
      </x:c>
      <x:c r="S199" t="str">
        <x:v>Approved P06 v2 completed-scope milestone</x:v>
      </x:c>
      <x:c r="T199" t="str">
        <x:v>BLOCKED: source-versus-reconstructed milestone/sequence inconsistency; see focused reconciliation QA report | Scenario dates calculated from reconstructed logic, not source recovered</x:v>
      </x:c>
      <x:c r="U199" s="54" t="n">
        <x:v>46132</x:v>
      </x:c>
      <x:c r="V199" s="54" t="n">
        <x:v>46132</x:v>
      </x:c>
      <x:c r="W199" s="54" t="n">
        <x:v>46380</x:v>
      </x:c>
      <x:c r="X199" s="54" t="n">
        <x:v>46380</x:v>
      </x:c>
      <x:c r="Y199" s="78" t="n">
        <x:v>178</x:v>
      </x:c>
    </x:row>
    <x:row r="200" ht="21" customHeight="1">
      <x:c r="A200" t="str">
        <x:v>P06-MSYSINT</x:v>
      </x:c>
      <x:c r="B200" t="str">
        <x:v>P06</x:v>
      </x:c>
      <x:c r="C200" t="str">
        <x:v>MSYSINT</x:v>
      </x:c>
      <x:c r="D200" t="str">
        <x:v>1.06.4.2</x:v>
      </x:c>
      <x:c r="E200" s="54" t="n">
        <x:v>46100</x:v>
      </x:c>
      <x:c r="F200" s="54" t="n">
        <x:v>46100</x:v>
      </x:c>
      <x:c r="G200" s="54"/>
      <x:c r="H200" s="54"/>
      <x:c r="I200" s="54"/>
      <x:c r="J200" s="54"/>
      <x:c r="K200" t="n">
        <x:v>0</x:v>
      </x:c>
      <x:c r="L200" t="str">
        <x:v>P06-A14</x:v>
      </x:c>
      <x:c r="M200"/>
      <x:c r="N200" s="21" t="b">
        <x:v>1</x:v>
      </x:c>
      <x:c r="O200" s="21" t="b">
        <x:v>0</x:v>
      </x:c>
      <x:c r="P200" t="str">
        <x:v>P06-CA04</x:v>
      </x:c>
      <x:c r="Q200" t="str">
        <x:v>P06-WP042</x:v>
      </x:c>
      <x:c r="R200" t="str">
        <x:v>Milestone</x:v>
      </x:c>
      <x:c r="S200" t="str">
        <x:v>Approved milestone / interface milestone</x:v>
      </x:c>
      <x:c r="T200" t="str">
        <x:v>BLOCKED: source-versus-reconstructed milestone/sequence inconsistency; see focused reconciliation QA report | Scenario dates calculated from reconstructed logic, not source recovered</x:v>
      </x:c>
      <x:c r="U200" s="54" t="n">
        <x:v>46100</x:v>
      </x:c>
      <x:c r="V200" s="54" t="n">
        <x:v>46100</x:v>
      </x:c>
      <x:c r="W200" s="54" t="n">
        <x:v>46128</x:v>
      </x:c>
      <x:c r="X200" s="54" t="n">
        <x:v>46128</x:v>
      </x:c>
      <x:c r="Y200" s="78" t="n">
        <x:v>20</x:v>
      </x:c>
    </x:row>
    <x:row r="201" ht="21" customHeight="1">
      <x:c r="A201" t="str">
        <x:v>P06-A17</x:v>
      </x:c>
      <x:c r="B201" t="str">
        <x:v>P06</x:v>
      </x:c>
      <x:c r="C201" t="str">
        <x:v>Pilot Validation</x:v>
      </x:c>
      <x:c r="D201" t="str">
        <x:v>1.06.5.1</x:v>
      </x:c>
      <x:c r="E201" s="54" t="n">
        <x:v>46150</x:v>
      </x:c>
      <x:c r="F201" s="54" t="n">
        <x:v>46170</x:v>
      </x:c>
      <x:c r="G201" s="54"/>
      <x:c r="H201" s="54"/>
      <x:c r="I201" s="54"/>
      <x:c r="J201" s="54"/>
      <x:c r="K201" t="n">
        <x:v>15</x:v>
      </x:c>
      <x:c r="L201" t="str">
        <x:v>P06-A16</x:v>
      </x:c>
      <x:c r="M201"/>
      <x:c r="N201" s="21" t="b">
        <x:v>0</x:v>
      </x:c>
      <x:c r="O201" s="21" t="b">
        <x:v>1</x:v>
      </x:c>
      <x:c r="P201" t="str">
        <x:v>P06-CA05</x:v>
      </x:c>
      <x:c r="Q201" t="str">
        <x:v>P06-WP051</x:v>
      </x:c>
      <x:c r="R201" t="str">
        <x:v>Task</x:v>
      </x:c>
      <x:c r="S201" t="str">
        <x:v>Project-type realism</x:v>
      </x:c>
      <x:c r="T201" t="str">
        <x:v>BLOCKED: source-versus-reconstructed milestone/sequence inconsistency; see focused reconciliation QA report | Scenario dates calculated from reconstructed logic, not source recovered</x:v>
      </x:c>
      <x:c r="U201" s="54" t="n">
        <x:v>46150</x:v>
      </x:c>
      <x:c r="V201" s="54" t="n">
        <x:v>46170</x:v>
      </x:c>
      <x:c r="W201" s="54" t="n">
        <x:v>46150</x:v>
      </x:c>
      <x:c r="X201" s="54" t="n">
        <x:v>46170</x:v>
      </x:c>
      <x:c r="Y201" s="78" t="n">
        <x:v>0</x:v>
      </x:c>
    </x:row>
    <x:row r="202" ht="21" customHeight="1">
      <x:c r="A202" t="str">
        <x:v>P06-A18a</x:v>
      </x:c>
      <x:c r="B202" t="str">
        <x:v>P06</x:v>
      </x:c>
      <x:c r="C202" t="str">
        <x:v>Field Deployment Wave 1</x:v>
      </x:c>
      <x:c r="D202" t="str">
        <x:v>1.06.4.1</x:v>
      </x:c>
      <x:c r="E202" s="54" t="n">
        <x:v>46171</x:v>
      </x:c>
      <x:c r="F202" s="54" t="n">
        <x:v>46219</x:v>
      </x:c>
      <x:c r="G202" s="54"/>
      <x:c r="H202" s="54"/>
      <x:c r="I202" s="54"/>
      <x:c r="J202" s="54"/>
      <x:c r="K202" t="n">
        <x:v>35</x:v>
      </x:c>
      <x:c r="L202" t="str">
        <x:v>P06-A17</x:v>
      </x:c>
      <x:c r="M202"/>
      <x:c r="N202" s="21" t="b">
        <x:v>0</x:v>
      </x:c>
      <x:c r="O202" s="21" t="b">
        <x:v>0</x:v>
      </x:c>
      <x:c r="P202" t="str">
        <x:v>P06-CA04</x:v>
      </x:c>
      <x:c r="Q202" t="str">
        <x:v>P06-WP041</x:v>
      </x:c>
      <x:c r="R202" t="str">
        <x:v>Task</x:v>
      </x:c>
      <x:c r="S202" t="str">
        <x:v>Synthetic, industry-informed</x:v>
      </x:c>
      <x:c r="T202" t="str">
        <x:v>Source-derived / reconstructed network | Scenario dates calculated from reconstructed logic, not source recovered</x:v>
      </x:c>
      <x:c r="U202" s="54" t="n">
        <x:v>46171</x:v>
      </x:c>
      <x:c r="V202" s="54" t="n">
        <x:v>46219</x:v>
      </x:c>
      <x:c r="W202" s="54" t="n">
        <x:v>46234</x:v>
      </x:c>
      <x:c r="X202" s="54" t="n">
        <x:v>46282</x:v>
      </x:c>
      <x:c r="Y202" s="78" t="n">
        <x:v>45</x:v>
      </x:c>
    </x:row>
    <x:row r="203" ht="21" customHeight="1">
      <x:c r="A203" t="str">
        <x:v>P06-MPILOTREADY</x:v>
      </x:c>
      <x:c r="B203" t="str">
        <x:v>P06</x:v>
      </x:c>
      <x:c r="C203" t="str">
        <x:v>Pilot Ready</x:v>
      </x:c>
      <x:c r="D203" t="str">
        <x:v>1.06.5.1</x:v>
      </x:c>
      <x:c r="E203" s="54" t="n">
        <x:v>46128</x:v>
      </x:c>
      <x:c r="F203" s="54" t="n">
        <x:v>46128</x:v>
      </x:c>
      <x:c r="G203" s="54"/>
      <x:c r="H203" s="54"/>
      <x:c r="I203" s="54"/>
      <x:c r="J203" s="54"/>
      <x:c r="K203" t="n">
        <x:v>0</x:v>
      </x:c>
      <x:c r="L203" t="str">
        <x:v>P06-MSYSINT, P06-A15, P06-APILOTSTAGE, P06-A8, P06-A6</x:v>
      </x:c>
      <x:c r="M203"/>
      <x:c r="N203" s="21" t="b">
        <x:v>1</x:v>
      </x:c>
      <x:c r="O203" s="21" t="b">
        <x:v>1</x:v>
      </x:c>
      <x:c r="P203" t="str">
        <x:v>P06-CA05</x:v>
      </x:c>
      <x:c r="Q203" t="str">
        <x:v>P06-WP051</x:v>
      </x:c>
      <x:c r="R203" t="str">
        <x:v>Milestone</x:v>
      </x:c>
      <x:c r="S203" t="str">
        <x:v>Approved P06 v2 corrected pre-deployment gate</x:v>
      </x:c>
      <x:c r="T203" t="str">
        <x:v>BLOCKED: source-versus-reconstructed milestone/sequence inconsistency; see focused reconciliation QA report | Scenario dates calculated from reconstructed logic, not source recovered</x:v>
      </x:c>
      <x:c r="U203" s="54" t="n">
        <x:v>46128</x:v>
      </x:c>
      <x:c r="V203" s="54" t="n">
        <x:v>46128</x:v>
      </x:c>
      <x:c r="W203" s="54" t="n">
        <x:v>46128</x:v>
      </x:c>
      <x:c r="X203" s="54" t="n">
        <x:v>46128</x:v>
      </x:c>
      <x:c r="Y203" s="78" t="n">
        <x:v>0</x:v>
      </x:c>
    </x:row>
    <x:row r="204" ht="21" customHeight="1">
      <x:c r="A204" t="str">
        <x:v>P06-A19a</x:v>
      </x:c>
      <x:c r="B204" t="str">
        <x:v>P06</x:v>
      </x:c>
      <x:c r="C204" t="str">
        <x:v>Field Deployment Wave 2</x:v>
      </x:c>
      <x:c r="D204" t="str">
        <x:v>1.06.4.1</x:v>
      </x:c>
      <x:c r="E204" s="54" t="n">
        <x:v>46192</x:v>
      </x:c>
      <x:c r="F204" s="54" t="n">
        <x:v>46240</x:v>
      </x:c>
      <x:c r="G204" s="54"/>
      <x:c r="H204" s="54"/>
      <x:c r="I204" s="54"/>
      <x:c r="J204" s="54"/>
      <x:c r="K204" t="n">
        <x:v>35</x:v>
      </x:c>
      <x:c r="L204" t="str">
        <x:v>P06-A17</x:v>
      </x:c>
      <x:c r="M204"/>
      <x:c r="N204" s="21" t="b">
        <x:v>0</x:v>
      </x:c>
      <x:c r="O204" s="21" t="b">
        <x:v>0</x:v>
      </x:c>
      <x:c r="P204" t="str">
        <x:v>P06-CA04</x:v>
      </x:c>
      <x:c r="Q204" t="str">
        <x:v>P06-WP041</x:v>
      </x:c>
      <x:c r="R204" t="str">
        <x:v>Task</x:v>
      </x:c>
      <x:c r="S204" t="str">
        <x:v>Synthetic, industry-informed</x:v>
      </x:c>
      <x:c r="T204" t="str">
        <x:v>Source-derived / reconstructed network | Scenario dates calculated from reconstructed logic, not source recovered</x:v>
      </x:c>
      <x:c r="U204" s="54" t="n">
        <x:v>46192</x:v>
      </x:c>
      <x:c r="V204" s="54" t="n">
        <x:v>46240</x:v>
      </x:c>
      <x:c r="W204" s="54" t="n">
        <x:v>46234</x:v>
      </x:c>
      <x:c r="X204" s="54" t="n">
        <x:v>46282</x:v>
      </x:c>
      <x:c r="Y204" s="78" t="n">
        <x:v>30</x:v>
      </x:c>
    </x:row>
    <x:row r="205" ht="21" customHeight="1">
      <x:c r="A205" t="str">
        <x:v>P06-MPILOTDONE</x:v>
      </x:c>
      <x:c r="B205" t="str">
        <x:v>P06</x:v>
      </x:c>
      <x:c r="C205" t="str">
        <x:v>MPILOTDONE</x:v>
      </x:c>
      <x:c r="D205" t="str">
        <x:v>1.06.4.1</x:v>
      </x:c>
      <x:c r="E205" s="54" t="n">
        <x:v>46170</x:v>
      </x:c>
      <x:c r="F205" s="54" t="n">
        <x:v>46170</x:v>
      </x:c>
      <x:c r="G205" s="54"/>
      <x:c r="H205" s="54"/>
      <x:c r="I205" s="54"/>
      <x:c r="J205" s="54"/>
      <x:c r="K205" t="n">
        <x:v>0</x:v>
      </x:c>
      <x:c r="L205" t="str">
        <x:v>P06-A17</x:v>
      </x:c>
      <x:c r="M205"/>
      <x:c r="N205" s="21" t="b">
        <x:v>1</x:v>
      </x:c>
      <x:c r="O205" s="21" t="b">
        <x:v>0</x:v>
      </x:c>
      <x:c r="P205" t="str">
        <x:v>P06-CA04</x:v>
      </x:c>
      <x:c r="Q205" t="str">
        <x:v>P06-WP041</x:v>
      </x:c>
      <x:c r="R205" t="str">
        <x:v>Milestone</x:v>
      </x:c>
      <x:c r="S205" t="str">
        <x:v>Approved milestone / interface milestone</x:v>
      </x:c>
      <x:c r="T205" t="str">
        <x:v>BLOCKED: source-versus-reconstructed milestone/sequence inconsistency; see focused reconciliation QA report | Scenario dates calculated from reconstructed logic, not source recovered</x:v>
      </x:c>
      <x:c r="U205" s="54" t="n">
        <x:v>46170</x:v>
      </x:c>
      <x:c r="V205" s="54" t="n">
        <x:v>46170</x:v>
      </x:c>
      <x:c r="W205" s="54" t="n">
        <x:v>46380</x:v>
      </x:c>
      <x:c r="X205" s="54" t="n">
        <x:v>46380</x:v>
      </x:c>
      <x:c r="Y205" s="78" t="n">
        <x:v>150</x:v>
      </x:c>
    </x:row>
    <x:row r="206" ht="21" customHeight="1">
      <x:c r="A206" t="str">
        <x:v>P06-A20a</x:v>
      </x:c>
      <x:c r="B206" t="str">
        <x:v>P06</x:v>
      </x:c>
      <x:c r="C206" t="str">
        <x:v>Field Deployment Wave 3</x:v>
      </x:c>
      <x:c r="D206" t="str">
        <x:v>1.06.4.1</x:v>
      </x:c>
      <x:c r="E206" s="54" t="n">
        <x:v>46213</x:v>
      </x:c>
      <x:c r="F206" s="54" t="n">
        <x:v>46261</x:v>
      </x:c>
      <x:c r="G206" s="54"/>
      <x:c r="H206" s="54"/>
      <x:c r="I206" s="54"/>
      <x:c r="J206" s="54"/>
      <x:c r="K206" t="n">
        <x:v>35</x:v>
      </x:c>
      <x:c r="L206" t="str">
        <x:v>P06-A17</x:v>
      </x:c>
      <x:c r="M206"/>
      <x:c r="N206" s="21" t="b">
        <x:v>0</x:v>
      </x:c>
      <x:c r="O206" s="21" t="b">
        <x:v>0</x:v>
      </x:c>
      <x:c r="P206" t="str">
        <x:v>P06-CA04</x:v>
      </x:c>
      <x:c r="Q206" t="str">
        <x:v>P06-WP041</x:v>
      </x:c>
      <x:c r="R206" t="str">
        <x:v>Task</x:v>
      </x:c>
      <x:c r="S206" t="str">
        <x:v>Synthetic, industry-informed</x:v>
      </x:c>
      <x:c r="T206" t="str">
        <x:v>Source-derived / reconstructed network | Scenario dates calculated from reconstructed logic, not source recovered</x:v>
      </x:c>
      <x:c r="U206" s="54" t="n">
        <x:v>46213</x:v>
      </x:c>
      <x:c r="V206" s="54" t="n">
        <x:v>46261</x:v>
      </x:c>
      <x:c r="W206" s="54" t="n">
        <x:v>46234</x:v>
      </x:c>
      <x:c r="X206" s="54" t="n">
        <x:v>46282</x:v>
      </x:c>
      <x:c r="Y206" s="78" t="n">
        <x:v>15</x:v>
      </x:c>
    </x:row>
    <x:row r="207" ht="21" customHeight="1">
      <x:c r="A207" t="str">
        <x:v>P06-A18b</x:v>
      </x:c>
      <x:c r="B207" t="str">
        <x:v>P06</x:v>
      </x:c>
      <x:c r="C207" t="str">
        <x:v>Wave 1 Data Migration / Account Reconciliation</x:v>
      </x:c>
      <x:c r="D207" t="str">
        <x:v>1.06.4.3</x:v>
      </x:c>
      <x:c r="E207" s="54" t="n">
        <x:v>46220</x:v>
      </x:c>
      <x:c r="F207" s="54" t="n">
        <x:v>46233</x:v>
      </x:c>
      <x:c r="G207" s="54"/>
      <x:c r="H207" s="54"/>
      <x:c r="I207" s="54"/>
      <x:c r="J207" s="54"/>
      <x:c r="K207" t="n">
        <x:v>10</x:v>
      </x:c>
      <x:c r="L207" t="str">
        <x:v>P06-A18a</x:v>
      </x:c>
      <x:c r="M207"/>
      <x:c r="N207" s="21" t="b">
        <x:v>0</x:v>
      </x:c>
      <x:c r="O207" s="21" t="b">
        <x:v>0</x:v>
      </x:c>
      <x:c r="P207" t="str">
        <x:v>P06-CA04</x:v>
      </x:c>
      <x:c r="Q207" t="str">
        <x:v>P06-WP043</x:v>
      </x:c>
      <x:c r="R207" t="str">
        <x:v>Task</x:v>
      </x:c>
      <x:c r="S207" t="str">
        <x:v>Project-type realism</x:v>
      </x:c>
      <x:c r="T207" t="str">
        <x:v>Source-derived / reconstructed network | Scenario dates calculated from reconstructed logic, not source recovered</x:v>
      </x:c>
      <x:c r="U207" s="54" t="n">
        <x:v>46220</x:v>
      </x:c>
      <x:c r="V207" s="54" t="n">
        <x:v>46233</x:v>
      </x:c>
      <x:c r="W207" s="54" t="n">
        <x:v>46283</x:v>
      </x:c>
      <x:c r="X207" s="54" t="n">
        <x:v>46296</x:v>
      </x:c>
      <x:c r="Y207" s="78" t="n">
        <x:v>45</x:v>
      </x:c>
    </x:row>
    <x:row r="208" ht="21" customHeight="1">
      <x:c r="A208" t="str">
        <x:v>P06-A21a</x:v>
      </x:c>
      <x:c r="B208" t="str">
        <x:v>P06</x:v>
      </x:c>
      <x:c r="C208" t="str">
        <x:v>Field Deployment Wave 4</x:v>
      </x:c>
      <x:c r="D208" t="str">
        <x:v>1.06.4.1</x:v>
      </x:c>
      <x:c r="E208" s="54" t="n">
        <x:v>46234</x:v>
      </x:c>
      <x:c r="F208" s="54" t="n">
        <x:v>46282</x:v>
      </x:c>
      <x:c r="G208" s="54"/>
      <x:c r="H208" s="54"/>
      <x:c r="I208" s="54"/>
      <x:c r="J208" s="54"/>
      <x:c r="K208" t="n">
        <x:v>35</x:v>
      </x:c>
      <x:c r="L208" t="str">
        <x:v>P06-A17</x:v>
      </x:c>
      <x:c r="M208"/>
      <x:c r="N208" s="21" t="b">
        <x:v>0</x:v>
      </x:c>
      <x:c r="O208" s="21" t="b">
        <x:v>1</x:v>
      </x:c>
      <x:c r="P208" t="str">
        <x:v>P06-CA04</x:v>
      </x:c>
      <x:c r="Q208" t="str">
        <x:v>P06-WP041</x:v>
      </x:c>
      <x:c r="R208" t="str">
        <x:v>Task</x:v>
      </x:c>
      <x:c r="S208" t="str">
        <x:v>Synthetic, industry-informed</x:v>
      </x:c>
      <x:c r="T208" t="str">
        <x:v>Source-derived / reconstructed network | Scenario dates calculated from reconstructed logic, not source recovered</x:v>
      </x:c>
      <x:c r="U208" s="54" t="n">
        <x:v>46234</x:v>
      </x:c>
      <x:c r="V208" s="54" t="n">
        <x:v>46282</x:v>
      </x:c>
      <x:c r="W208" s="54" t="n">
        <x:v>46234</x:v>
      </x:c>
      <x:c r="X208" s="54" t="n">
        <x:v>46282</x:v>
      </x:c>
      <x:c r="Y208" s="78" t="n">
        <x:v>0</x:v>
      </x:c>
    </x:row>
    <x:row r="209" ht="21" customHeight="1">
      <x:c r="A209" t="str">
        <x:v>P06-A19b</x:v>
      </x:c>
      <x:c r="B209" t="str">
        <x:v>P06</x:v>
      </x:c>
      <x:c r="C209" t="str">
        <x:v>Wave 2 Data Migration / Account Reconciliation</x:v>
      </x:c>
      <x:c r="D209" t="str">
        <x:v>1.06.4.3</x:v>
      </x:c>
      <x:c r="E209" s="54" t="n">
        <x:v>46241</x:v>
      </x:c>
      <x:c r="F209" s="54" t="n">
        <x:v>46254</x:v>
      </x:c>
      <x:c r="G209" s="54"/>
      <x:c r="H209" s="54"/>
      <x:c r="I209" s="54"/>
      <x:c r="J209" s="54"/>
      <x:c r="K209" t="n">
        <x:v>10</x:v>
      </x:c>
      <x:c r="L209" t="str">
        <x:v>P06-A19a</x:v>
      </x:c>
      <x:c r="M209"/>
      <x:c r="N209" s="21" t="b">
        <x:v>0</x:v>
      </x:c>
      <x:c r="O209" s="21" t="b">
        <x:v>0</x:v>
      </x:c>
      <x:c r="P209" t="str">
        <x:v>P06-CA04</x:v>
      </x:c>
      <x:c r="Q209" t="str">
        <x:v>P06-WP043</x:v>
      </x:c>
      <x:c r="R209" t="str">
        <x:v>Task</x:v>
      </x:c>
      <x:c r="S209" t="str">
        <x:v>Project-type realism</x:v>
      </x:c>
      <x:c r="T209" t="str">
        <x:v>Source-derived / reconstructed network | Scenario dates calculated from reconstructed logic, not source recovered</x:v>
      </x:c>
      <x:c r="U209" s="54" t="n">
        <x:v>46241</x:v>
      </x:c>
      <x:c r="V209" s="54" t="n">
        <x:v>46254</x:v>
      </x:c>
      <x:c r="W209" s="54" t="n">
        <x:v>46283</x:v>
      </x:c>
      <x:c r="X209" s="54" t="n">
        <x:v>46296</x:v>
      </x:c>
      <x:c r="Y209" s="78" t="n">
        <x:v>30</x:v>
      </x:c>
    </x:row>
    <x:row r="210" ht="21" customHeight="1">
      <x:c r="A210" t="str">
        <x:v>P06-M25</x:v>
      </x:c>
      <x:c r="B210" t="str">
        <x:v>P06</x:v>
      </x:c>
      <x:c r="C210" t="str">
        <x:v>M25</x:v>
      </x:c>
      <x:c r="D210" t="str">
        <x:v>1.06.4.1</x:v>
      </x:c>
      <x:c r="E210" s="54" t="n">
        <x:v>46219</x:v>
      </x:c>
      <x:c r="F210" s="54" t="n">
        <x:v>46219</x:v>
      </x:c>
      <x:c r="G210" s="54"/>
      <x:c r="H210" s="54"/>
      <x:c r="I210" s="54"/>
      <x:c r="J210" s="54"/>
      <x:c r="K210" t="n">
        <x:v>0</x:v>
      </x:c>
      <x:c r="L210" t="str">
        <x:v>P06-A18a</x:v>
      </x:c>
      <x:c r="M210"/>
      <x:c r="N210" s="21" t="b">
        <x:v>1</x:v>
      </x:c>
      <x:c r="O210" s="21" t="b">
        <x:v>0</x:v>
      </x:c>
      <x:c r="P210" t="str">
        <x:v>P06-CA04</x:v>
      </x:c>
      <x:c r="Q210" t="str">
        <x:v>P06-WP041</x:v>
      </x:c>
      <x:c r="R210" t="str">
        <x:v>Milestone</x:v>
      </x:c>
      <x:c r="S210" t="str">
        <x:v>Approved milestone / interface milestone</x:v>
      </x:c>
      <x:c r="T210" t="str">
        <x:v>Source-explicit milestone date | Scenario dates calculated from reconstructed logic, not source recovered</x:v>
      </x:c>
      <x:c r="U210" s="54" t="n">
        <x:v>46219</x:v>
      </x:c>
      <x:c r="V210" s="54" t="n">
        <x:v>46219</x:v>
      </x:c>
      <x:c r="W210" s="54" t="n">
        <x:v>46380</x:v>
      </x:c>
      <x:c r="X210" s="54" t="n">
        <x:v>46380</x:v>
      </x:c>
      <x:c r="Y210" s="78" t="n">
        <x:v>115</x:v>
      </x:c>
    </x:row>
    <x:row r="211" ht="21" customHeight="1">
      <x:c r="A211" t="str">
        <x:v>P06-A20b</x:v>
      </x:c>
      <x:c r="B211" t="str">
        <x:v>P06</x:v>
      </x:c>
      <x:c r="C211" t="str">
        <x:v>Wave 3 Data Migration / Account Reconciliation</x:v>
      </x:c>
      <x:c r="D211" t="str">
        <x:v>1.06.4.3</x:v>
      </x:c>
      <x:c r="E211" s="54" t="n">
        <x:v>46262</x:v>
      </x:c>
      <x:c r="F211" s="54" t="n">
        <x:v>46275</x:v>
      </x:c>
      <x:c r="G211" s="54"/>
      <x:c r="H211" s="54"/>
      <x:c r="I211" s="54"/>
      <x:c r="J211" s="54"/>
      <x:c r="K211" t="n">
        <x:v>10</x:v>
      </x:c>
      <x:c r="L211" t="str">
        <x:v>P06-A20a</x:v>
      </x:c>
      <x:c r="M211"/>
      <x:c r="N211" s="21" t="b">
        <x:v>0</x:v>
      </x:c>
      <x:c r="O211" s="21" t="b">
        <x:v>0</x:v>
      </x:c>
      <x:c r="P211" t="str">
        <x:v>P06-CA04</x:v>
      </x:c>
      <x:c r="Q211" t="str">
        <x:v>P06-WP043</x:v>
      </x:c>
      <x:c r="R211" t="str">
        <x:v>Task</x:v>
      </x:c>
      <x:c r="S211" t="str">
        <x:v>Project-type realism</x:v>
      </x:c>
      <x:c r="T211" t="str">
        <x:v>Source-derived / reconstructed network | Scenario dates calculated from reconstructed logic, not source recovered</x:v>
      </x:c>
      <x:c r="U211" s="54" t="n">
        <x:v>46262</x:v>
      </x:c>
      <x:c r="V211" s="54" t="n">
        <x:v>46275</x:v>
      </x:c>
      <x:c r="W211" s="54" t="n">
        <x:v>46283</x:v>
      </x:c>
      <x:c r="X211" s="54" t="n">
        <x:v>46296</x:v>
      </x:c>
      <x:c r="Y211" s="78" t="n">
        <x:v>15</x:v>
      </x:c>
    </x:row>
    <x:row r="212" ht="21" customHeight="1">
      <x:c r="A212" t="str">
        <x:v>P06-M50</x:v>
      </x:c>
      <x:c r="B212" t="str">
        <x:v>P06</x:v>
      </x:c>
      <x:c r="C212" t="str">
        <x:v>M50</x:v>
      </x:c>
      <x:c r="D212" t="str">
        <x:v>1.06.4.1</x:v>
      </x:c>
      <x:c r="E212" s="54" t="n">
        <x:v>46240</x:v>
      </x:c>
      <x:c r="F212" s="54" t="n">
        <x:v>46240</x:v>
      </x:c>
      <x:c r="G212" s="54"/>
      <x:c r="H212" s="54"/>
      <x:c r="I212" s="54"/>
      <x:c r="J212" s="54"/>
      <x:c r="K212" t="n">
        <x:v>0</x:v>
      </x:c>
      <x:c r="L212" t="str">
        <x:v>P06-A19a</x:v>
      </x:c>
      <x:c r="M212"/>
      <x:c r="N212" s="21" t="b">
        <x:v>1</x:v>
      </x:c>
      <x:c r="O212" s="21" t="b">
        <x:v>0</x:v>
      </x:c>
      <x:c r="P212" t="str">
        <x:v>P06-CA04</x:v>
      </x:c>
      <x:c r="Q212" t="str">
        <x:v>P06-WP041</x:v>
      </x:c>
      <x:c r="R212" t="str">
        <x:v>Milestone</x:v>
      </x:c>
      <x:c r="S212" t="str">
        <x:v>Approved milestone / interface milestone</x:v>
      </x:c>
      <x:c r="T212" t="str">
        <x:v>Source-explicit milestone date | Scenario dates calculated from reconstructed logic, not source recovered</x:v>
      </x:c>
      <x:c r="U212" s="54" t="n">
        <x:v>46240</x:v>
      </x:c>
      <x:c r="V212" s="54" t="n">
        <x:v>46240</x:v>
      </x:c>
      <x:c r="W212" s="54" t="n">
        <x:v>46380</x:v>
      </x:c>
      <x:c r="X212" s="54" t="n">
        <x:v>46380</x:v>
      </x:c>
      <x:c r="Y212" s="78" t="n">
        <x:v>100</x:v>
      </x:c>
    </x:row>
    <x:row r="213" ht="21" customHeight="1">
      <x:c r="A213" t="str">
        <x:v>P06-A21b</x:v>
      </x:c>
      <x:c r="B213" t="str">
        <x:v>P06</x:v>
      </x:c>
      <x:c r="C213" t="str">
        <x:v>Wave 4 Data Migration / Account Reconciliation</x:v>
      </x:c>
      <x:c r="D213" t="str">
        <x:v>1.06.4.3</x:v>
      </x:c>
      <x:c r="E213" s="54" t="n">
        <x:v>46283</x:v>
      </x:c>
      <x:c r="F213" s="54" t="n">
        <x:v>46296</x:v>
      </x:c>
      <x:c r="G213" s="54"/>
      <x:c r="H213" s="54"/>
      <x:c r="I213" s="54"/>
      <x:c r="J213" s="54"/>
      <x:c r="K213" t="n">
        <x:v>10</x:v>
      </x:c>
      <x:c r="L213" t="str">
        <x:v>P06-A21a</x:v>
      </x:c>
      <x:c r="M213"/>
      <x:c r="N213" s="21" t="b">
        <x:v>0</x:v>
      </x:c>
      <x:c r="O213" s="21" t="b">
        <x:v>1</x:v>
      </x:c>
      <x:c r="P213" t="str">
        <x:v>P06-CA04</x:v>
      </x:c>
      <x:c r="Q213" t="str">
        <x:v>P06-WP043</x:v>
      </x:c>
      <x:c r="R213" t="str">
        <x:v>Task</x:v>
      </x:c>
      <x:c r="S213" t="str">
        <x:v>Project-type realism</x:v>
      </x:c>
      <x:c r="T213" t="str">
        <x:v>Source-derived / reconstructed network | Scenario dates calculated from reconstructed logic, not source recovered</x:v>
      </x:c>
      <x:c r="U213" s="54" t="n">
        <x:v>46283</x:v>
      </x:c>
      <x:c r="V213" s="54" t="n">
        <x:v>46296</x:v>
      </x:c>
      <x:c r="W213" s="54" t="n">
        <x:v>46283</x:v>
      </x:c>
      <x:c r="X213" s="54" t="n">
        <x:v>46296</x:v>
      </x:c>
      <x:c r="Y213" s="78" t="n">
        <x:v>0</x:v>
      </x:c>
    </x:row>
    <x:row r="214" ht="21" customHeight="1">
      <x:c r="A214" t="str">
        <x:v>P06-M75</x:v>
      </x:c>
      <x:c r="B214" t="str">
        <x:v>P06</x:v>
      </x:c>
      <x:c r="C214" t="str">
        <x:v>M75</x:v>
      </x:c>
      <x:c r="D214" t="str">
        <x:v>1.06.4.1</x:v>
      </x:c>
      <x:c r="E214" s="54" t="n">
        <x:v>46261</x:v>
      </x:c>
      <x:c r="F214" s="54" t="n">
        <x:v>46261</x:v>
      </x:c>
      <x:c r="G214" s="54"/>
      <x:c r="H214" s="54"/>
      <x:c r="I214" s="54"/>
      <x:c r="J214" s="54"/>
      <x:c r="K214" t="n">
        <x:v>0</x:v>
      </x:c>
      <x:c r="L214" t="str">
        <x:v>P06-A20a</x:v>
      </x:c>
      <x:c r="M214"/>
      <x:c r="N214" s="21" t="b">
        <x:v>1</x:v>
      </x:c>
      <x:c r="O214" s="21" t="b">
        <x:v>0</x:v>
      </x:c>
      <x:c r="P214" t="str">
        <x:v>P06-CA04</x:v>
      </x:c>
      <x:c r="Q214" t="str">
        <x:v>P06-WP041</x:v>
      </x:c>
      <x:c r="R214" t="str">
        <x:v>Milestone</x:v>
      </x:c>
      <x:c r="S214" t="str">
        <x:v>Approved milestone / interface milestone</x:v>
      </x:c>
      <x:c r="T214" t="str">
        <x:v>Source-explicit milestone date | Scenario dates calculated from reconstructed logic, not source recovered</x:v>
      </x:c>
      <x:c r="U214" s="54" t="n">
        <x:v>46261</x:v>
      </x:c>
      <x:c r="V214" s="54" t="n">
        <x:v>46261</x:v>
      </x:c>
      <x:c r="W214" s="54" t="n">
        <x:v>46380</x:v>
      </x:c>
      <x:c r="X214" s="54" t="n">
        <x:v>46380</x:v>
      </x:c>
      <x:c r="Y214" s="78" t="n">
        <x:v>85</x:v>
      </x:c>
    </x:row>
    <x:row r="215" ht="21" customHeight="1">
      <x:c r="A215" t="str">
        <x:v>P06-A22</x:v>
      </x:c>
      <x:c r="B215" t="str">
        <x:v>P06</x:v>
      </x:c>
      <x:c r="C215" t="str">
        <x:v>Exception Handling &amp; Remediation</x:v>
      </x:c>
      <x:c r="D215" t="str">
        <x:v>1.06.4.1</x:v>
      </x:c>
      <x:c r="E215" s="54" t="n">
        <x:v>46297</x:v>
      </x:c>
      <x:c r="F215" s="54" t="n">
        <x:v>46317</x:v>
      </x:c>
      <x:c r="G215" s="54"/>
      <x:c r="H215" s="54"/>
      <x:c r="I215" s="54"/>
      <x:c r="J215" s="54"/>
      <x:c r="K215" t="n">
        <x:v>15</x:v>
      </x:c>
      <x:c r="L215" t="str">
        <x:v>P06-A18b, P06-A19b, P06-A20b, P06-A21b</x:v>
      </x:c>
      <x:c r="M215"/>
      <x:c r="N215" s="21" t="b">
        <x:v>0</x:v>
      </x:c>
      <x:c r="O215" s="21" t="b">
        <x:v>1</x:v>
      </x:c>
      <x:c r="P215" t="str">
        <x:v>P06-CA04</x:v>
      </x:c>
      <x:c r="Q215" t="str">
        <x:v>P06-WP041</x:v>
      </x:c>
      <x:c r="R215" t="str">
        <x:v>Task</x:v>
      </x:c>
      <x:c r="S215" t="str">
        <x:v>Project-type realism</x:v>
      </x:c>
      <x:c r="T215" t="str">
        <x:v>Source-derived / reconstructed network | Scenario dates calculated from reconstructed logic, not source recovered</x:v>
      </x:c>
      <x:c r="U215" s="54" t="n">
        <x:v>46297</x:v>
      </x:c>
      <x:c r="V215" s="54" t="n">
        <x:v>46317</x:v>
      </x:c>
      <x:c r="W215" s="54" t="n">
        <x:v>46297</x:v>
      </x:c>
      <x:c r="X215" s="54" t="n">
        <x:v>46317</x:v>
      </x:c>
      <x:c r="Y215" s="78" t="n">
        <x:v>0</x:v>
      </x:c>
    </x:row>
    <x:row r="216" ht="21" customHeight="1">
      <x:c r="A216" t="str">
        <x:v>P06-MFULL</x:v>
      </x:c>
      <x:c r="B216" t="str">
        <x:v>P06</x:v>
      </x:c>
      <x:c r="C216" t="str">
        <x:v>MFULL</x:v>
      </x:c>
      <x:c r="D216" t="str">
        <x:v>1.06.4.1</x:v>
      </x:c>
      <x:c r="E216" s="54" t="n">
        <x:v>46282</x:v>
      </x:c>
      <x:c r="F216" s="54" t="n">
        <x:v>46282</x:v>
      </x:c>
      <x:c r="G216" s="54"/>
      <x:c r="H216" s="54"/>
      <x:c r="I216" s="54"/>
      <x:c r="J216" s="54"/>
      <x:c r="K216" t="n">
        <x:v>0</x:v>
      </x:c>
      <x:c r="L216" t="str">
        <x:v>P06-A21a</x:v>
      </x:c>
      <x:c r="M216"/>
      <x:c r="N216" s="21" t="b">
        <x:v>1</x:v>
      </x:c>
      <x:c r="O216" s="21" t="b">
        <x:v>0</x:v>
      </x:c>
      <x:c r="P216" t="str">
        <x:v>P06-CA04</x:v>
      </x:c>
      <x:c r="Q216" t="str">
        <x:v>P06-WP041</x:v>
      </x:c>
      <x:c r="R216" t="str">
        <x:v>Milestone</x:v>
      </x:c>
      <x:c r="S216" t="str">
        <x:v>Approved milestone / interface milestone</x:v>
      </x:c>
      <x:c r="T216" t="str">
        <x:v>Source-explicit milestone date | Scenario dates calculated from reconstructed logic, not source recovered</x:v>
      </x:c>
      <x:c r="U216" s="54" t="n">
        <x:v>46282</x:v>
      </x:c>
      <x:c r="V216" s="54" t="n">
        <x:v>46282</x:v>
      </x:c>
      <x:c r="W216" s="54" t="n">
        <x:v>46380</x:v>
      </x:c>
      <x:c r="X216" s="54" t="n">
        <x:v>46380</x:v>
      </x:c>
      <x:c r="Y216" s="78" t="n">
        <x:v>70</x:v>
      </x:c>
    </x:row>
    <x:row r="217" ht="21" customHeight="1">
      <x:c r="A217" t="str">
        <x:v>P06-A23</x:v>
      </x:c>
      <x:c r="B217" t="str">
        <x:v>P06</x:v>
      </x:c>
      <x:c r="C217" t="str">
        <x:v>Final Deployment Verification</x:v>
      </x:c>
      <x:c r="D217" t="str">
        <x:v>1.06.5.1</x:v>
      </x:c>
      <x:c r="E217" s="54" t="n">
        <x:v>46318</x:v>
      </x:c>
      <x:c r="F217" s="54" t="n">
        <x:v>46331</x:v>
      </x:c>
      <x:c r="G217" s="54"/>
      <x:c r="H217" s="54"/>
      <x:c r="I217" s="54"/>
      <x:c r="J217" s="54"/>
      <x:c r="K217" t="n">
        <x:v>10</x:v>
      </x:c>
      <x:c r="L217" t="str">
        <x:v>P06-A22</x:v>
      </x:c>
      <x:c r="M217"/>
      <x:c r="N217" s="21" t="b">
        <x:v>0</x:v>
      </x:c>
      <x:c r="O217" s="21" t="b">
        <x:v>1</x:v>
      </x:c>
      <x:c r="P217" t="str">
        <x:v>P06-CA05</x:v>
      </x:c>
      <x:c r="Q217" t="str">
        <x:v>P06-WP051</x:v>
      </x:c>
      <x:c r="R217" t="str">
        <x:v>Task</x:v>
      </x:c>
      <x:c r="S217" t="str">
        <x:v>Project-type realism</x:v>
      </x:c>
      <x:c r="T217" t="str">
        <x:v>Source-derived / reconstructed network | Scenario dates calculated from reconstructed logic, not source recovered</x:v>
      </x:c>
      <x:c r="U217" s="54" t="n">
        <x:v>46318</x:v>
      </x:c>
      <x:c r="V217" s="54" t="n">
        <x:v>46331</x:v>
      </x:c>
      <x:c r="W217" s="54" t="n">
        <x:v>46318</x:v>
      </x:c>
      <x:c r="X217" s="54" t="n">
        <x:v>46331</x:v>
      </x:c>
      <x:c r="Y217" s="78" t="n">
        <x:v>0</x:v>
      </x:c>
    </x:row>
    <x:row r="218" ht="21" customHeight="1">
      <x:c r="A218" t="str">
        <x:v>P06-A24</x:v>
      </x:c>
      <x:c r="B218" t="str">
        <x:v>P06</x:v>
      </x:c>
      <x:c r="C218" t="str">
        <x:v>Operational Handoff / Training</x:v>
      </x:c>
      <x:c r="D218" t="str">
        <x:v>1.06.5.1</x:v>
      </x:c>
      <x:c r="E218" s="54" t="n">
        <x:v>46332</x:v>
      </x:c>
      <x:c r="F218" s="54" t="n">
        <x:v>46345</x:v>
      </x:c>
      <x:c r="G218" s="54"/>
      <x:c r="H218" s="54"/>
      <x:c r="I218" s="54"/>
      <x:c r="J218" s="54"/>
      <x:c r="K218" t="n">
        <x:v>10</x:v>
      </x:c>
      <x:c r="L218" t="str">
        <x:v>P06-A23</x:v>
      </x:c>
      <x:c r="M218"/>
      <x:c r="N218" s="21" t="b">
        <x:v>0</x:v>
      </x:c>
      <x:c r="O218" s="21" t="b">
        <x:v>1</x:v>
      </x:c>
      <x:c r="P218" t="str">
        <x:v>P06-CA05</x:v>
      </x:c>
      <x:c r="Q218" t="str">
        <x:v>P06-WP051</x:v>
      </x:c>
      <x:c r="R218" t="str">
        <x:v>Task</x:v>
      </x:c>
      <x:c r="S218" t="str">
        <x:v>Project-type realism</x:v>
      </x:c>
      <x:c r="T218" t="str">
        <x:v>Semantic WBS mapping corrected: operational handoff/training is acceptance/commissioning scope | Scenario dates calculated from reconstructed logic, not source recovered</x:v>
      </x:c>
      <x:c r="U218" s="54" t="n">
        <x:v>46332</x:v>
      </x:c>
      <x:c r="V218" s="54" t="n">
        <x:v>46345</x:v>
      </x:c>
      <x:c r="W218" s="54" t="n">
        <x:v>46332</x:v>
      </x:c>
      <x:c r="X218" s="54" t="n">
        <x:v>46345</x:v>
      </x:c>
      <x:c r="Y218" s="78" t="n">
        <x:v>0</x:v>
      </x:c>
    </x:row>
    <x:row r="219" ht="21" customHeight="1">
      <x:c r="A219" t="str">
        <x:v>P06-A25</x:v>
      </x:c>
      <x:c r="B219" t="str">
        <x:v>P06</x:v>
      </x:c>
      <x:c r="C219" t="str">
        <x:v>Documentation &amp; Turnover</x:v>
      </x:c>
      <x:c r="D219" t="str">
        <x:v>1.06.6.1</x:v>
      </x:c>
      <x:c r="E219" s="54" t="n">
        <x:v>46346</x:v>
      </x:c>
      <x:c r="F219" s="54" t="n">
        <x:v>46359</x:v>
      </x:c>
      <x:c r="G219" s="54"/>
      <x:c r="H219" s="54"/>
      <x:c r="I219" s="54"/>
      <x:c r="J219" s="54"/>
      <x:c r="K219" t="n">
        <x:v>10</x:v>
      </x:c>
      <x:c r="L219" t="str">
        <x:v>P06-A24</x:v>
      </x:c>
      <x:c r="M219"/>
      <x:c r="N219" s="21" t="b">
        <x:v>0</x:v>
      </x:c>
      <x:c r="O219" s="21" t="b">
        <x:v>1</x:v>
      </x:c>
      <x:c r="P219" t="str">
        <x:v>P06-CA06</x:v>
      </x:c>
      <x:c r="Q219" t="str">
        <x:v>P06-WP061</x:v>
      </x:c>
      <x:c r="R219" t="str">
        <x:v>Task</x:v>
      </x:c>
      <x:c r="S219" t="str">
        <x:v>Project-type realism</x:v>
      </x:c>
      <x:c r="T219" t="str">
        <x:v>Source-derived / reconstructed network | Scenario dates calculated from reconstructed logic, not source recovered</x:v>
      </x:c>
      <x:c r="U219" s="54" t="n">
        <x:v>46346</x:v>
      </x:c>
      <x:c r="V219" s="54" t="n">
        <x:v>46359</x:v>
      </x:c>
      <x:c r="W219" s="54" t="n">
        <x:v>46346</x:v>
      </x:c>
      <x:c r="X219" s="54" t="n">
        <x:v>46359</x:v>
      </x:c>
      <x:c r="Y219" s="78" t="n">
        <x:v>0</x:v>
      </x:c>
    </x:row>
    <x:row r="220" ht="21" customHeight="1">
      <x:c r="A220" t="str">
        <x:v>P06-M3</x:v>
      </x:c>
      <x:c r="B220" t="str">
        <x:v>P06</x:v>
      </x:c>
      <x:c r="C220" t="str">
        <x:v>Substantial Completion</x:v>
      </x:c>
      <x:c r="D220" t="str">
        <x:v>1.06.4.1</x:v>
      </x:c>
      <x:c r="E220" s="54" t="n">
        <x:v>46345</x:v>
      </x:c>
      <x:c r="F220" s="54" t="n">
        <x:v>46345</x:v>
      </x:c>
      <x:c r="G220" s="54"/>
      <x:c r="H220" s="54"/>
      <x:c r="I220" s="54"/>
      <x:c r="J220" s="54"/>
      <x:c r="K220" t="n">
        <x:v>0</x:v>
      </x:c>
      <x:c r="L220" t="str">
        <x:v>P06-A24</x:v>
      </x:c>
      <x:c r="M220"/>
      <x:c r="N220" s="21" t="b">
        <x:v>1</x:v>
      </x:c>
      <x:c r="O220" s="21" t="b">
        <x:v>0</x:v>
      </x:c>
      <x:c r="P220" t="str">
        <x:v>P06-CA04</x:v>
      </x:c>
      <x:c r="Q220" t="str">
        <x:v>P06-WP041</x:v>
      </x:c>
      <x:c r="R220" t="str">
        <x:v>Milestone</x:v>
      </x:c>
      <x:c r="S220" t="str">
        <x:v>Approved milestone / interface milestone</x:v>
      </x:c>
      <x:c r="T220" t="str">
        <x:v>Source-explicit milestone date | Scenario dates calculated from reconstructed logic, not source recovered</x:v>
      </x:c>
      <x:c r="U220" s="54" t="n">
        <x:v>46345</x:v>
      </x:c>
      <x:c r="V220" s="54" t="n">
        <x:v>46345</x:v>
      </x:c>
      <x:c r="W220" s="54" t="n">
        <x:v>46380</x:v>
      </x:c>
      <x:c r="X220" s="54" t="n">
        <x:v>46380</x:v>
      </x:c>
      <x:c r="Y220" s="78" t="n">
        <x:v>25</x:v>
      </x:c>
    </x:row>
    <x:row r="221" ht="21" customHeight="1">
      <x:c r="A221" t="str">
        <x:v>P06-MOPACC</x:v>
      </x:c>
      <x:c r="B221" t="str">
        <x:v>P06</x:v>
      </x:c>
      <x:c r="C221" t="str">
        <x:v>MOPACC</x:v>
      </x:c>
      <x:c r="D221" t="str">
        <x:v>1.06.4.1</x:v>
      </x:c>
      <x:c r="E221" s="54" t="n">
        <x:v>46345</x:v>
      </x:c>
      <x:c r="F221" s="54" t="n">
        <x:v>46345</x:v>
      </x:c>
      <x:c r="G221" s="54"/>
      <x:c r="H221" s="54"/>
      <x:c r="I221" s="54"/>
      <x:c r="J221" s="54"/>
      <x:c r="K221" t="n">
        <x:v>0</x:v>
      </x:c>
      <x:c r="L221" t="str">
        <x:v>P06-A24</x:v>
      </x:c>
      <x:c r="M221"/>
      <x:c r="N221" s="21" t="b">
        <x:v>1</x:v>
      </x:c>
      <x:c r="O221" s="21" t="b">
        <x:v>0</x:v>
      </x:c>
      <x:c r="P221" t="str">
        <x:v>P06-CA04</x:v>
      </x:c>
      <x:c r="Q221" t="str">
        <x:v>P06-WP041</x:v>
      </x:c>
      <x:c r="R221" t="str">
        <x:v>Milestone</x:v>
      </x:c>
      <x:c r="S221" t="str">
        <x:v>Approved milestone / interface milestone</x:v>
      </x:c>
      <x:c r="T221" t="str">
        <x:v>Source-explicit milestone date | Scenario dates calculated from reconstructed logic, not source recovered</x:v>
      </x:c>
      <x:c r="U221" s="54" t="n">
        <x:v>46345</x:v>
      </x:c>
      <x:c r="V221" s="54" t="n">
        <x:v>46345</x:v>
      </x:c>
      <x:c r="W221" s="54" t="n">
        <x:v>46380</x:v>
      </x:c>
      <x:c r="X221" s="54" t="n">
        <x:v>46380</x:v>
      </x:c>
      <x:c r="Y221" s="78" t="n">
        <x:v>25</x:v>
      </x:c>
    </x:row>
    <x:row r="222" ht="21" customHeight="1">
      <x:c r="A222" t="str">
        <x:v>P06-A26</x:v>
      </x:c>
      <x:c r="B222" t="str">
        <x:v>P06</x:v>
      </x:c>
      <x:c r="C222" t="str">
        <x:v>Financial Closeout</x:v>
      </x:c>
      <x:c r="D222" t="str">
        <x:v>1.06.6.2</x:v>
      </x:c>
      <x:c r="E222" s="54" t="n">
        <x:v>46360</x:v>
      </x:c>
      <x:c r="F222" s="54" t="n">
        <x:v>46380</x:v>
      </x:c>
      <x:c r="G222" s="54"/>
      <x:c r="H222" s="54"/>
      <x:c r="I222" s="54"/>
      <x:c r="J222" s="54"/>
      <x:c r="K222" t="n">
        <x:v>15</x:v>
      </x:c>
      <x:c r="L222" t="str">
        <x:v>P06-A25</x:v>
      </x:c>
      <x:c r="M222"/>
      <x:c r="N222" s="21" t="b">
        <x:v>0</x:v>
      </x:c>
      <x:c r="O222" s="21" t="b">
        <x:v>1</x:v>
      </x:c>
      <x:c r="P222" t="str">
        <x:v>P06-CA06</x:v>
      </x:c>
      <x:c r="Q222" t="str">
        <x:v>P06-WP062</x:v>
      </x:c>
      <x:c r="R222" t="str">
        <x:v>Task</x:v>
      </x:c>
      <x:c r="S222" t="str">
        <x:v>Project-type realism</x:v>
      </x:c>
      <x:c r="T222" t="str">
        <x:v>Source-derived / reconstructed network | Scenario dates calculated from reconstructed logic, not source recovered</x:v>
      </x:c>
      <x:c r="U222" s="54" t="n">
        <x:v>46360</x:v>
      </x:c>
      <x:c r="V222" s="54" t="n">
        <x:v>46380</x:v>
      </x:c>
      <x:c r="W222" s="54" t="n">
        <x:v>46360</x:v>
      </x:c>
      <x:c r="X222" s="54" t="n">
        <x:v>46380</x:v>
      </x:c>
      <x:c r="Y222" s="78" t="n">
        <x:v>0</x:v>
      </x:c>
    </x:row>
    <x:row r="223" ht="21" customHeight="1">
      <x:c r="A223" t="str">
        <x:v>P06-M4</x:v>
      </x:c>
      <x:c r="B223" t="str">
        <x:v>P06</x:v>
      </x:c>
      <x:c r="C223" t="str">
        <x:v>Final Completion</x:v>
      </x:c>
      <x:c r="D223" t="str">
        <x:v>1.06.4.1</x:v>
      </x:c>
      <x:c r="E223" s="54" t="n">
        <x:v>46380</x:v>
      </x:c>
      <x:c r="F223" s="54" t="n">
        <x:v>46380</x:v>
      </x:c>
      <x:c r="G223" s="54"/>
      <x:c r="H223" s="54"/>
      <x:c r="I223" s="54"/>
      <x:c r="J223" s="54"/>
      <x:c r="K223" t="n">
        <x:v>0</x:v>
      </x:c>
      <x:c r="L223" t="str">
        <x:v>P06-A26</x:v>
      </x:c>
      <x:c r="M223"/>
      <x:c r="N223" s="21" t="b">
        <x:v>1</x:v>
      </x:c>
      <x:c r="O223" s="21" t="b">
        <x:v>1</x:v>
      </x:c>
      <x:c r="P223" t="str">
        <x:v>P06-CA04</x:v>
      </x:c>
      <x:c r="Q223" t="str">
        <x:v>P06-WP041</x:v>
      </x:c>
      <x:c r="R223" t="str">
        <x:v>Milestone</x:v>
      </x:c>
      <x:c r="S223" t="str">
        <x:v>Approved milestone / interface milestone</x:v>
      </x:c>
      <x:c r="T223" t="str">
        <x:v>Source-explicit milestone date | Scenario dates calculated from reconstructed logic, not source recovered</x:v>
      </x:c>
      <x:c r="U223" s="54" t="n">
        <x:v>46380</x:v>
      </x:c>
      <x:c r="V223" s="54" t="n">
        <x:v>46380</x:v>
      </x:c>
      <x:c r="W223" s="54" t="n">
        <x:v>46380</x:v>
      </x:c>
      <x:c r="X223" s="54" t="n">
        <x:v>46380</x:v>
      </x:c>
      <x:c r="Y223" s="78" t="n">
        <x:v>0</x:v>
      </x:c>
    </x:row>
    <x:row r="224" ht="21" customHeight="1">
      <x:c r="A224" t="str">
        <x:v>P07-A1</x:v>
      </x:c>
      <x:c r="B224" t="str">
        <x:v>P07</x:v>
      </x:c>
      <x:c r="C224" t="str">
        <x:v>Hydraulic &amp; Operational Assessment</x:v>
      </x:c>
      <x:c r="D224" t="str">
        <x:v>1.07.1.1</x:v>
      </x:c>
      <x:c r="E224" s="54" t="n">
        <x:v>45931</x:v>
      </x:c>
      <x:c r="F224" s="54" t="n">
        <x:v>45951</x:v>
      </x:c>
      <x:c r="G224" s="54"/>
      <x:c r="H224" s="54"/>
      <x:c r="I224" s="54"/>
      <x:c r="J224" s="54"/>
      <x:c r="K224" t="n">
        <x:v>15</x:v>
      </x:c>
      <x:c r="L224" t="str"/>
      <x:c r="M224"/>
      <x:c r="N224" s="21" t="b">
        <x:v>0</x:v>
      </x:c>
      <x:c r="O224" s="21" t="b">
        <x:v>1</x:v>
      </x:c>
      <x:c r="P224" t="str">
        <x:v>P07-CA01</x:v>
      </x:c>
      <x:c r="Q224" t="str">
        <x:v>P07-WP011</x:v>
      </x:c>
      <x:c r="R224" t="str">
        <x:v>Task</x:v>
      </x:c>
      <x:c r="S224" t="str">
        <x:v>Project-type realism</x:v>
      </x:c>
      <x:c r="T224" t="str">
        <x:v>Source-derived / reconstructed network</x:v>
      </x:c>
      <x:c r="U224" s="54" t="n">
        <x:v>45931</x:v>
      </x:c>
      <x:c r="V224" s="54" t="n">
        <x:v>45951</x:v>
      </x:c>
      <x:c r="W224" s="54" t="n">
        <x:v>45931</x:v>
      </x:c>
      <x:c r="X224" s="54" t="n">
        <x:v>45951</x:v>
      </x:c>
      <x:c r="Y224" s="78" t="n">
        <x:v>0</x:v>
      </x:c>
    </x:row>
    <x:row r="225" ht="21" customHeight="1">
      <x:c r="A225" t="str">
        <x:v>P07-A2</x:v>
      </x:c>
      <x:c r="B225" t="str">
        <x:v>P07</x:v>
      </x:c>
      <x:c r="C225" t="str">
        <x:v>Project Definition &amp; Pressure-Zone Strategy</x:v>
      </x:c>
      <x:c r="D225" t="str">
        <x:v>1.07.1.2</x:v>
      </x:c>
      <x:c r="E225" s="54" t="n">
        <x:v>45952</x:v>
      </x:c>
      <x:c r="F225" s="54" t="n">
        <x:v>45965</x:v>
      </x:c>
      <x:c r="G225" s="54"/>
      <x:c r="H225" s="54"/>
      <x:c r="I225" s="54"/>
      <x:c r="J225" s="54"/>
      <x:c r="K225" t="n">
        <x:v>10</x:v>
      </x:c>
      <x:c r="L225" t="str">
        <x:v>P07-A1</x:v>
      </x:c>
      <x:c r="M225"/>
      <x:c r="N225" s="21" t="b">
        <x:v>0</x:v>
      </x:c>
      <x:c r="O225" s="21" t="b">
        <x:v>1</x:v>
      </x:c>
      <x:c r="P225" t="str">
        <x:v>P07-CA01</x:v>
      </x:c>
      <x:c r="Q225" t="str">
        <x:v>P07-WP012</x:v>
      </x:c>
      <x:c r="R225" t="str">
        <x:v>Task</x:v>
      </x:c>
      <x:c r="S225" t="str">
        <x:v>Project-type realism</x:v>
      </x:c>
      <x:c r="T225" t="str">
        <x:v>Source-derived / reconstructed network</x:v>
      </x:c>
      <x:c r="U225" s="54" t="n">
        <x:v>45952</x:v>
      </x:c>
      <x:c r="V225" s="54" t="n">
        <x:v>45965</x:v>
      </x:c>
      <x:c r="W225" s="54" t="n">
        <x:v>45952</x:v>
      </x:c>
      <x:c r="X225" s="54" t="n">
        <x:v>45965</x:v>
      </x:c>
      <x:c r="Y225" s="78" t="n">
        <x:v>0</x:v>
      </x:c>
    </x:row>
    <x:row r="226" ht="21" customHeight="1">
      <x:c r="A226" t="str">
        <x:v>P07-A3</x:v>
      </x:c>
      <x:c r="B226" t="str">
        <x:v>P07</x:v>
      </x:c>
      <x:c r="C226" t="str">
        <x:v>Preliminary Design — PRV/Valve Siting &amp; Instrumentation Plan</x:v>
      </x:c>
      <x:c r="D226" t="str">
        <x:v>1.07.2.1</x:v>
      </x:c>
      <x:c r="E226" s="54" t="n">
        <x:v>45966</x:v>
      </x:c>
      <x:c r="F226" s="54" t="n">
        <x:v>45993</x:v>
      </x:c>
      <x:c r="G226" s="54"/>
      <x:c r="H226" s="54"/>
      <x:c r="I226" s="54"/>
      <x:c r="J226" s="54"/>
      <x:c r="K226" t="n">
        <x:v>20</x:v>
      </x:c>
      <x:c r="L226" t="str">
        <x:v>P07-A2</x:v>
      </x:c>
      <x:c r="M226"/>
      <x:c r="N226" s="21" t="b">
        <x:v>0</x:v>
      </x:c>
      <x:c r="O226" s="21" t="b">
        <x:v>1</x:v>
      </x:c>
      <x:c r="P226" t="str">
        <x:v>P07-CA02</x:v>
      </x:c>
      <x:c r="Q226" t="str">
        <x:v>P07-WP021</x:v>
      </x:c>
      <x:c r="R226" t="str">
        <x:v>Task</x:v>
      </x:c>
      <x:c r="S226" t="str">
        <x:v>Project-type realism</x:v>
      </x:c>
      <x:c r="T226" t="str">
        <x:v>Source-derived / reconstructed network</x:v>
      </x:c>
      <x:c r="U226" s="54" t="n">
        <x:v>45966</x:v>
      </x:c>
      <x:c r="V226" s="54" t="n">
        <x:v>45993</x:v>
      </x:c>
      <x:c r="W226" s="54" t="n">
        <x:v>45966</x:v>
      </x:c>
      <x:c r="X226" s="54" t="n">
        <x:v>45993</x:v>
      </x:c>
      <x:c r="Y226" s="78" t="n">
        <x:v>0</x:v>
      </x:c>
    </x:row>
    <x:row r="227" ht="21" customHeight="1">
      <x:c r="A227" t="str">
        <x:v>P07-A4</x:v>
      </x:c>
      <x:c r="B227" t="str">
        <x:v>P07</x:v>
      </x:c>
      <x:c r="C227" t="str">
        <x:v>Final Design (100%)</x:v>
      </x:c>
      <x:c r="D227" t="str">
        <x:v>1.07.2.2</x:v>
      </x:c>
      <x:c r="E227" s="54" t="n">
        <x:v>46001</x:v>
      </x:c>
      <x:c r="F227" s="54" t="n">
        <x:v>46028</x:v>
      </x:c>
      <x:c r="G227" s="54"/>
      <x:c r="H227" s="54"/>
      <x:c r="I227" s="54"/>
      <x:c r="J227" s="54"/>
      <x:c r="K227" t="n">
        <x:v>20</x:v>
      </x:c>
      <x:c r="L227" t="str">
        <x:v>P07-A3</x:v>
      </x:c>
      <x:c r="M227"/>
      <x:c r="N227" s="21" t="b">
        <x:v>0</x:v>
      </x:c>
      <x:c r="O227" s="21" t="b">
        <x:v>1</x:v>
      </x:c>
      <x:c r="P227" t="str">
        <x:v>P07-CA02</x:v>
      </x:c>
      <x:c r="Q227" t="str">
        <x:v>P07-WP022</x:v>
      </x:c>
      <x:c r="R227" t="str">
        <x:v>Task</x:v>
      </x:c>
      <x:c r="S227" t="str">
        <x:v>Project-type realism; +5bd review lag in logic</x:v>
      </x:c>
      <x:c r="T227" t="str">
        <x:v>Source-derived / reconstructed network</x:v>
      </x:c>
      <x:c r="U227" s="54" t="n">
        <x:v>46001</x:v>
      </x:c>
      <x:c r="V227" s="54" t="n">
        <x:v>46028</x:v>
      </x:c>
      <x:c r="W227" s="54" t="n">
        <x:v>46001</x:v>
      </x:c>
      <x:c r="X227" s="54" t="n">
        <x:v>46028</x:v>
      </x:c>
      <x:c r="Y227" s="78" t="n">
        <x:v>0</x:v>
      </x:c>
    </x:row>
    <x:row r="228" ht="21" customHeight="1">
      <x:c r="A228" t="str">
        <x:v>P07-A5</x:v>
      </x:c>
      <x:c r="B228" t="str">
        <x:v>P07</x:v>
      </x:c>
      <x:c r="C228" t="str">
        <x:v>Bid Advertisement</x:v>
      </x:c>
      <x:c r="D228" t="str">
        <x:v>1.07.3.1</x:v>
      </x:c>
      <x:c r="E228" s="54" t="n">
        <x:v>46015</x:v>
      </x:c>
      <x:c r="F228" s="54" t="n">
        <x:v>46035</x:v>
      </x:c>
      <x:c r="G228" s="54"/>
      <x:c r="H228" s="54"/>
      <x:c r="I228" s="54"/>
      <x:c r="J228" s="54"/>
      <x:c r="K228" t="n">
        <x:v>15</x:v>
      </x:c>
      <x:c r="L228" t="str">
        <x:v>P07-A4</x:v>
      </x:c>
      <x:c r="M228"/>
      <x:c r="N228" s="21" t="b">
        <x:v>0</x:v>
      </x:c>
      <x:c r="O228" s="21" t="b">
        <x:v>1</x:v>
      </x:c>
      <x:c r="P228" t="str">
        <x:v>P07-CA03</x:v>
      </x:c>
      <x:c r="Q228" t="str">
        <x:v>P07-WP031</x:v>
      </x:c>
      <x:c r="R228" t="str">
        <x:v>Task</x:v>
      </x:c>
      <x:c r="S228" t="str">
        <x:v>Project-type realism</x:v>
      </x:c>
      <x:c r="T228" t="str">
        <x:v>Source-derived / reconstructed network</x:v>
      </x:c>
      <x:c r="U228" s="54" t="n">
        <x:v>46015</x:v>
      </x:c>
      <x:c r="V228" s="54" t="n">
        <x:v>46035</x:v>
      </x:c>
      <x:c r="W228" s="54" t="n">
        <x:v>46015</x:v>
      </x:c>
      <x:c r="X228" s="54" t="n">
        <x:v>46035</x:v>
      </x:c>
      <x:c r="Y228" s="78" t="n">
        <x:v>0</x:v>
      </x:c>
    </x:row>
    <x:row r="229" ht="21" customHeight="1">
      <x:c r="A229" t="str">
        <x:v>P07-M1</x:v>
      </x:c>
      <x:c r="B229" t="str">
        <x:v>P07</x:v>
      </x:c>
      <x:c r="C229" t="str">
        <x:v>Design Complete</x:v>
      </x:c>
      <x:c r="D229" t="str">
        <x:v>1.07.4.1</x:v>
      </x:c>
      <x:c r="E229" s="54" t="n">
        <x:v>46028</x:v>
      </x:c>
      <x:c r="F229" s="54" t="n">
        <x:v>46028</x:v>
      </x:c>
      <x:c r="G229" s="54"/>
      <x:c r="H229" s="54"/>
      <x:c r="I229" s="54"/>
      <x:c r="J229" s="54"/>
      <x:c r="K229" t="n">
        <x:v>0</x:v>
      </x:c>
      <x:c r="L229" t="str">
        <x:v>P07-A4</x:v>
      </x:c>
      <x:c r="M229"/>
      <x:c r="N229" s="21" t="b">
        <x:v>1</x:v>
      </x:c>
      <x:c r="O229" s="21" t="b">
        <x:v>0</x:v>
      </x:c>
      <x:c r="P229" t="str">
        <x:v>P07-CA04</x:v>
      </x:c>
      <x:c r="Q229" t="str">
        <x:v>P07-WP041</x:v>
      </x:c>
      <x:c r="R229" t="str">
        <x:v>Milestone</x:v>
      </x:c>
      <x:c r="S229" t="str">
        <x:v>Approved milestone / interface milestone</x:v>
      </x:c>
      <x:c r="T229" t="str">
        <x:v>Source-explicit milestone date</x:v>
      </x:c>
      <x:c r="U229" s="54" t="n">
        <x:v>46028</x:v>
      </x:c>
      <x:c r="V229" s="54" t="n">
        <x:v>46028</x:v>
      </x:c>
      <x:c r="W229" s="54" t="n">
        <x:v>46266</x:v>
      </x:c>
      <x:c r="X229" s="54" t="n">
        <x:v>46266</x:v>
      </x:c>
      <x:c r="Y229" s="78" t="n">
        <x:v>170</x:v>
      </x:c>
    </x:row>
    <x:row r="230" ht="21" customHeight="1">
      <x:c r="A230" t="str">
        <x:v>P07-A4b</x:v>
      </x:c>
      <x:c r="B230" t="str">
        <x:v>P07</x:v>
      </x:c>
      <x:c r="C230" t="str">
        <x:v>Regulatory Plan Review &amp; Approval</x:v>
      </x:c>
      <x:c r="D230" t="str">
        <x:v>1.07.2.2</x:v>
      </x:c>
      <x:c r="E230" s="54" t="n">
        <x:v>46029</x:v>
      </x:c>
      <x:c r="F230" s="54" t="n">
        <x:v>46049</x:v>
      </x:c>
      <x:c r="G230" s="54"/>
      <x:c r="H230" s="54"/>
      <x:c r="I230" s="54"/>
      <x:c r="J230" s="54"/>
      <x:c r="K230" t="n">
        <x:v>15</x:v>
      </x:c>
      <x:c r="L230" t="str">
        <x:v>P07-A4</x:v>
      </x:c>
      <x:c r="M230"/>
      <x:c r="N230" s="21" t="b">
        <x:v>0</x:v>
      </x:c>
      <x:c r="O230" s="21" t="b">
        <x:v>0</x:v>
      </x:c>
      <x:c r="P230" t="str">
        <x:v>P07-CA02</x:v>
      </x:c>
      <x:c r="Q230" t="str">
        <x:v>P07-WP022</x:v>
      </x:c>
      <x:c r="R230" t="str">
        <x:v>Task</x:v>
      </x:c>
      <x:c r="S230" t="str">
        <x:v>Project-type realism</x:v>
      </x:c>
      <x:c r="T230" t="str">
        <x:v>Source-derived / reconstructed network</x:v>
      </x:c>
      <x:c r="U230" s="54" t="n">
        <x:v>46029</x:v>
      </x:c>
      <x:c r="V230" s="54" t="n">
        <x:v>46049</x:v>
      </x:c>
      <x:c r="W230" s="54" t="n">
        <x:v>46057</x:v>
      </x:c>
      <x:c r="X230" s="54" t="n">
        <x:v>46077</x:v>
      </x:c>
      <x:c r="Y230" s="78" t="n">
        <x:v>20</x:v>
      </x:c>
    </x:row>
    <x:row r="231" ht="21" customHeight="1">
      <x:c r="A231" t="str">
        <x:v>P07-A5b</x:v>
      </x:c>
      <x:c r="B231" t="str">
        <x:v>P07</x:v>
      </x:c>
      <x:c r="C231" t="str">
        <x:v>Evaluation &amp; Award</x:v>
      </x:c>
      <x:c r="D231" t="str">
        <x:v>1.07.3.1</x:v>
      </x:c>
      <x:c r="E231" s="54" t="n">
        <x:v>46036</x:v>
      </x:c>
      <x:c r="F231" s="54" t="n">
        <x:v>46049</x:v>
      </x:c>
      <x:c r="G231" s="54"/>
      <x:c r="H231" s="54"/>
      <x:c r="I231" s="54"/>
      <x:c r="J231" s="54"/>
      <x:c r="K231" t="n">
        <x:v>10</x:v>
      </x:c>
      <x:c r="L231" t="str">
        <x:v>P07-A5</x:v>
      </x:c>
      <x:c r="M231"/>
      <x:c r="N231" s="21" t="b">
        <x:v>0</x:v>
      </x:c>
      <x:c r="O231" s="21" t="b">
        <x:v>1</x:v>
      </x:c>
      <x:c r="P231" t="str">
        <x:v>P07-CA03</x:v>
      </x:c>
      <x:c r="Q231" t="str">
        <x:v>P07-WP031</x:v>
      </x:c>
      <x:c r="R231" t="str">
        <x:v>Task</x:v>
      </x:c>
      <x:c r="S231" t="str">
        <x:v>Project-type realism</x:v>
      </x:c>
      <x:c r="T231" t="str">
        <x:v>Source-derived / reconstructed network</x:v>
      </x:c>
      <x:c r="U231" s="54" t="n">
        <x:v>46036</x:v>
      </x:c>
      <x:c r="V231" s="54" t="n">
        <x:v>46049</x:v>
      </x:c>
      <x:c r="W231" s="54" t="n">
        <x:v>46036</x:v>
      </x:c>
      <x:c r="X231" s="54" t="n">
        <x:v>46049</x:v>
      </x:c>
      <x:c r="Y231" s="78" t="n">
        <x:v>0</x:v>
      </x:c>
    </x:row>
    <x:row r="232" ht="21" customHeight="1">
      <x:c r="A232" t="str">
        <x:v>P07-A5c</x:v>
      </x:c>
      <x:c r="B232" t="str">
        <x:v>P07</x:v>
      </x:c>
      <x:c r="C232" t="str">
        <x:v>Governing Body Approval</x:v>
      </x:c>
      <x:c r="D232" t="str">
        <x:v>1.07.3.2</x:v>
      </x:c>
      <x:c r="E232" s="54" t="n">
        <x:v>46050</x:v>
      </x:c>
      <x:c r="F232" s="54" t="n">
        <x:v>46063</x:v>
      </x:c>
      <x:c r="G232" s="54"/>
      <x:c r="H232" s="54"/>
      <x:c r="I232" s="54"/>
      <x:c r="J232" s="54"/>
      <x:c r="K232" t="n">
        <x:v>10</x:v>
      </x:c>
      <x:c r="L232" t="str">
        <x:v>P07-A5b</x:v>
      </x:c>
      <x:c r="M232"/>
      <x:c r="N232" s="21" t="b">
        <x:v>0</x:v>
      </x:c>
      <x:c r="O232" s="21" t="b">
        <x:v>1</x:v>
      </x:c>
      <x:c r="P232" t="str">
        <x:v>P07-CA03</x:v>
      </x:c>
      <x:c r="Q232" t="str">
        <x:v>P07-WP032</x:v>
      </x:c>
      <x:c r="R232" t="str">
        <x:v>Task</x:v>
      </x:c>
      <x:c r="S232" t="str">
        <x:v>Project-type realism</x:v>
      </x:c>
      <x:c r="T232" t="str">
        <x:v>Source-derived / reconstructed network</x:v>
      </x:c>
      <x:c r="U232" s="54" t="n">
        <x:v>46050</x:v>
      </x:c>
      <x:c r="V232" s="54" t="n">
        <x:v>46063</x:v>
      </x:c>
      <x:c r="W232" s="54" t="n">
        <x:v>46050</x:v>
      </x:c>
      <x:c r="X232" s="54" t="n">
        <x:v>46063</x:v>
      </x:c>
      <x:c r="Y232" s="78" t="n">
        <x:v>0</x:v>
      </x:c>
    </x:row>
    <x:row r="233" ht="21" customHeight="1">
      <x:c r="A233" t="str">
        <x:v>P07-M2</x:v>
      </x:c>
      <x:c r="B233" t="str">
        <x:v>P07</x:v>
      </x:c>
      <x:c r="C233" t="str">
        <x:v>Contract Award / NTP</x:v>
      </x:c>
      <x:c r="D233" t="str">
        <x:v>1.07.4.1</x:v>
      </x:c>
      <x:c r="E233" s="54" t="n">
        <x:v>46077</x:v>
      </x:c>
      <x:c r="F233" s="54" t="n">
        <x:v>46077</x:v>
      </x:c>
      <x:c r="G233" s="54"/>
      <x:c r="H233" s="54"/>
      <x:c r="I233" s="54"/>
      <x:c r="J233" s="54"/>
      <x:c r="K233" t="n">
        <x:v>0</x:v>
      </x:c>
      <x:c r="L233" t="str">
        <x:v>P07-A5c, P07-A4b</x:v>
      </x:c>
      <x:c r="M233"/>
      <x:c r="N233" s="21" t="b">
        <x:v>1</x:v>
      </x:c>
      <x:c r="O233" s="21" t="b">
        <x:v>1</x:v>
      </x:c>
      <x:c r="P233" t="str">
        <x:v>P07-CA04</x:v>
      </x:c>
      <x:c r="Q233" t="str">
        <x:v>P07-WP041</x:v>
      </x:c>
      <x:c r="R233" t="str">
        <x:v>Milestone</x:v>
      </x:c>
      <x:c r="S233" t="str">
        <x:v>Approved milestone / interface milestone</x:v>
      </x:c>
      <x:c r="T233" t="str">
        <x:v>Source-explicit milestone date</x:v>
      </x:c>
      <x:c r="U233" s="54" t="n">
        <x:v>46077</x:v>
      </x:c>
      <x:c r="V233" s="54" t="n">
        <x:v>46077</x:v>
      </x:c>
      <x:c r="W233" s="54" t="n">
        <x:v>46077</x:v>
      </x:c>
      <x:c r="X233" s="54" t="n">
        <x:v>46077</x:v>
      </x:c>
      <x:c r="Y233" s="78" t="n">
        <x:v>0</x:v>
      </x:c>
    </x:row>
    <x:row r="234" ht="21" customHeight="1">
      <x:c r="A234" t="str">
        <x:v>P07-A6</x:v>
      </x:c>
      <x:c r="B234" t="str">
        <x:v>P07</x:v>
      </x:c>
      <x:c r="C234" t="str">
        <x:v>Contractor Mobilization</x:v>
      </x:c>
      <x:c r="D234" t="str">
        <x:v>1.07.3.2</x:v>
      </x:c>
      <x:c r="E234" s="54" t="n">
        <x:v>46078</x:v>
      </x:c>
      <x:c r="F234" s="54" t="n">
        <x:v>46091</x:v>
      </x:c>
      <x:c r="G234" s="54"/>
      <x:c r="H234" s="54"/>
      <x:c r="I234" s="54"/>
      <x:c r="J234" s="54"/>
      <x:c r="K234" t="n">
        <x:v>10</x:v>
      </x:c>
      <x:c r="L234" t="str">
        <x:v>P07-M2</x:v>
      </x:c>
      <x:c r="M234"/>
      <x:c r="N234" s="21" t="b">
        <x:v>0</x:v>
      </x:c>
      <x:c r="O234" s="21" t="b">
        <x:v>0</x:v>
      </x:c>
      <x:c r="P234" t="str">
        <x:v>P07-CA03</x:v>
      </x:c>
      <x:c r="Q234" t="str">
        <x:v>P07-WP032</x:v>
      </x:c>
      <x:c r="R234" t="str">
        <x:v>Task</x:v>
      </x:c>
      <x:c r="S234" t="str">
        <x:v>Project-type realism</x:v>
      </x:c>
      <x:c r="T234" t="str">
        <x:v>Source-derived / reconstructed network</x:v>
      </x:c>
      <x:c r="U234" s="54" t="n">
        <x:v>46078</x:v>
      </x:c>
      <x:c r="V234" s="54" t="n">
        <x:v>46091</x:v>
      </x:c>
      <x:c r="W234" s="54" t="n">
        <x:v>46106</x:v>
      </x:c>
      <x:c r="X234" s="54" t="n">
        <x:v>46119</x:v>
      </x:c>
      <x:c r="Y234" s="78" t="n">
        <x:v>20</x:v>
      </x:c>
    </x:row>
    <x:row r="235" ht="21" customHeight="1">
      <x:c r="A235" t="str">
        <x:v>P07-A7</x:v>
      </x:c>
      <x:c r="B235" t="str">
        <x:v>P07</x:v>
      </x:c>
      <x:c r="C235" t="str">
        <x:v>Utility Coordination &amp; Locate Requests</x:v>
      </x:c>
      <x:c r="D235" t="str">
        <x:v>1.07.4.1</x:v>
      </x:c>
      <x:c r="E235" s="54" t="n">
        <x:v>46078</x:v>
      </x:c>
      <x:c r="F235" s="54" t="n">
        <x:v>46091</x:v>
      </x:c>
      <x:c r="G235" s="54"/>
      <x:c r="H235" s="54"/>
      <x:c r="I235" s="54"/>
      <x:c r="J235" s="54"/>
      <x:c r="K235" t="n">
        <x:v>10</x:v>
      </x:c>
      <x:c r="L235" t="str">
        <x:v>P07-M2</x:v>
      </x:c>
      <x:c r="M235"/>
      <x:c r="N235" s="21" t="b">
        <x:v>0</x:v>
      </x:c>
      <x:c r="O235" s="21" t="b">
        <x:v>0</x:v>
      </x:c>
      <x:c r="P235" t="str">
        <x:v>P07-CA04</x:v>
      </x:c>
      <x:c r="Q235" t="str">
        <x:v>P07-WP041</x:v>
      </x:c>
      <x:c r="R235" t="str">
        <x:v>Task</x:v>
      </x:c>
      <x:c r="S235" t="str">
        <x:v>Project-type realism</x:v>
      </x:c>
      <x:c r="T235" t="str">
        <x:v>Source-derived / reconstructed network</x:v>
      </x:c>
      <x:c r="U235" s="54" t="n">
        <x:v>46078</x:v>
      </x:c>
      <x:c r="V235" s="54" t="n">
        <x:v>46091</x:v>
      </x:c>
      <x:c r="W235" s="54" t="n">
        <x:v>46106</x:v>
      </x:c>
      <x:c r="X235" s="54" t="n">
        <x:v>46119</x:v>
      </x:c>
      <x:c r="Y235" s="78" t="n">
        <x:v>20</x:v>
      </x:c>
    </x:row>
    <x:row r="236" ht="21" customHeight="1">
      <x:c r="A236" t="str">
        <x:v>P07-A8</x:v>
      </x:c>
      <x:c r="B236" t="str">
        <x:v>P07</x:v>
      </x:c>
      <x:c r="C236" t="str">
        <x:v>PRV/Valve/Instrumentation Submittal Review</x:v>
      </x:c>
      <x:c r="D236" t="str">
        <x:v>1.07.3.1</x:v>
      </x:c>
      <x:c r="E236" s="54" t="n">
        <x:v>46078</x:v>
      </x:c>
      <x:c r="F236" s="54" t="n">
        <x:v>46098</x:v>
      </x:c>
      <x:c r="G236" s="54"/>
      <x:c r="H236" s="54"/>
      <x:c r="I236" s="54"/>
      <x:c r="J236" s="54"/>
      <x:c r="K236" t="n">
        <x:v>15</x:v>
      </x:c>
      <x:c r="L236" t="str">
        <x:v>P07-M2</x:v>
      </x:c>
      <x:c r="M236"/>
      <x:c r="N236" s="21" t="b">
        <x:v>0</x:v>
      </x:c>
      <x:c r="O236" s="21" t="b">
        <x:v>1</x:v>
      </x:c>
      <x:c r="P236" t="str">
        <x:v>P07-CA03</x:v>
      </x:c>
      <x:c r="Q236" t="str">
        <x:v>P07-WP031</x:v>
      </x:c>
      <x:c r="R236" t="str">
        <x:v>Task</x:v>
      </x:c>
      <x:c r="S236" t="str">
        <x:v>Synthetic project-specific planning assumption</x:v>
      </x:c>
      <x:c r="T236" t="str">
        <x:v>Source-derived / reconstructed network</x:v>
      </x:c>
      <x:c r="U236" s="54" t="n">
        <x:v>46078</x:v>
      </x:c>
      <x:c r="V236" s="54" t="n">
        <x:v>46098</x:v>
      </x:c>
      <x:c r="W236" s="54" t="n">
        <x:v>46078</x:v>
      </x:c>
      <x:c r="X236" s="54" t="n">
        <x:v>46098</x:v>
      </x:c>
      <x:c r="Y236" s="78" t="n">
        <x:v>0</x:v>
      </x:c>
    </x:row>
    <x:row r="237" ht="21" customHeight="1">
      <x:c r="A237" t="str">
        <x:v>P07-A10</x:v>
      </x:c>
      <x:c r="B237" t="str">
        <x:v>P07</x:v>
      </x:c>
      <x:c r="C237" t="str">
        <x:v>PRV Station Vault/Enclosure Construction</x:v>
      </x:c>
      <x:c r="D237" t="str">
        <x:v>1.07.4.1</x:v>
      </x:c>
      <x:c r="E237" s="54" t="n">
        <x:v>46092</x:v>
      </x:c>
      <x:c r="F237" s="54" t="n">
        <x:v>46112</x:v>
      </x:c>
      <x:c r="G237" s="54"/>
      <x:c r="H237" s="54"/>
      <x:c r="I237" s="54"/>
      <x:c r="J237" s="54"/>
      <x:c r="K237" t="n">
        <x:v>15</x:v>
      </x:c>
      <x:c r="L237" t="str">
        <x:v>P07-A6, P07-A7</x:v>
      </x:c>
      <x:c r="M237"/>
      <x:c r="N237" s="21" t="b">
        <x:v>0</x:v>
      </x:c>
      <x:c r="O237" s="21" t="b">
        <x:v>0</x:v>
      </x:c>
      <x:c r="P237" t="str">
        <x:v>P07-CA04</x:v>
      </x:c>
      <x:c r="Q237" t="str">
        <x:v>P07-WP041</x:v>
      </x:c>
      <x:c r="R237" t="str">
        <x:v>Task</x:v>
      </x:c>
      <x:c r="S237" t="str">
        <x:v>Project-type realism</x:v>
      </x:c>
      <x:c r="T237" t="str">
        <x:v>Source-derived / reconstructed network</x:v>
      </x:c>
      <x:c r="U237" s="54" t="n">
        <x:v>46092</x:v>
      </x:c>
      <x:c r="V237" s="54" t="n">
        <x:v>46112</x:v>
      </x:c>
      <x:c r="W237" s="54" t="n">
        <x:v>46120</x:v>
      </x:c>
      <x:c r="X237" s="54" t="n">
        <x:v>46140</x:v>
      </x:c>
      <x:c r="Y237" s="78" t="n">
        <x:v>20</x:v>
      </x:c>
    </x:row>
    <x:row r="238" ht="21" customHeight="1">
      <x:c r="A238" t="str">
        <x:v>P07-A9</x:v>
      </x:c>
      <x:c r="B238" t="str">
        <x:v>P07</x:v>
      </x:c>
      <x:c r="C238" t="str">
        <x:v>PRV/Valve/Instrumentation Procurement</x:v>
      </x:c>
      <x:c r="D238" t="str">
        <x:v>1.07.4.3</x:v>
      </x:c>
      <x:c r="E238" s="54" t="n">
        <x:v>46099</x:v>
      </x:c>
      <x:c r="F238" s="54" t="n">
        <x:v>46140</x:v>
      </x:c>
      <x:c r="G238" s="54"/>
      <x:c r="H238" s="54"/>
      <x:c r="I238" s="54"/>
      <x:c r="J238" s="54"/>
      <x:c r="K238" t="n">
        <x:v>30</x:v>
      </x:c>
      <x:c r="L238" t="str">
        <x:v>P07-A8</x:v>
      </x:c>
      <x:c r="M238"/>
      <x:c r="N238" s="21" t="b">
        <x:v>0</x:v>
      </x:c>
      <x:c r="O238" s="21" t="b">
        <x:v>1</x:v>
      </x:c>
      <x:c r="P238" t="str">
        <x:v>P07-CA04</x:v>
      </x:c>
      <x:c r="Q238" t="str">
        <x:v>P07-WP043</x:v>
      </x:c>
      <x:c r="R238" t="str">
        <x:v>Task</x:v>
      </x:c>
      <x:c r="S238" t="str">
        <x:v>Synthetic project-specific planning assumption</x:v>
      </x:c>
      <x:c r="T238" t="str">
        <x:v>Source-derived / reconstructed network</x:v>
      </x:c>
      <x:c r="U238" s="54" t="n">
        <x:v>46099</x:v>
      </x:c>
      <x:c r="V238" s="54" t="n">
        <x:v>46140</x:v>
      </x:c>
      <x:c r="W238" s="54" t="n">
        <x:v>46099</x:v>
      </x:c>
      <x:c r="X238" s="54" t="n">
        <x:v>46140</x:v>
      </x:c>
      <x:c r="Y238" s="78" t="n">
        <x:v>0</x:v>
      </x:c>
    </x:row>
    <x:row r="239" ht="21" customHeight="1">
      <x:c r="A239" t="str">
        <x:v>P07-A11</x:v>
      </x:c>
      <x:c r="B239" t="str">
        <x:v>P07</x:v>
      </x:c>
      <x:c r="C239" t="str">
        <x:v>PRV &amp; Isolation Valve Installation</x:v>
      </x:c>
      <x:c r="D239" t="str">
        <x:v>1.07.4.2</x:v>
      </x:c>
      <x:c r="E239" s="54" t="n">
        <x:v>46141</x:v>
      </x:c>
      <x:c r="F239" s="54" t="n">
        <x:v>46161</x:v>
      </x:c>
      <x:c r="G239" s="54"/>
      <x:c r="H239" s="54"/>
      <x:c r="I239" s="54"/>
      <x:c r="J239" s="54"/>
      <x:c r="K239" t="n">
        <x:v>15</x:v>
      </x:c>
      <x:c r="L239" t="str">
        <x:v>P07-A10, P07-A9</x:v>
      </x:c>
      <x:c r="M239"/>
      <x:c r="N239" s="21" t="b">
        <x:v>0</x:v>
      </x:c>
      <x:c r="O239" s="21" t="b">
        <x:v>1</x:v>
      </x:c>
      <x:c r="P239" t="str">
        <x:v>P07-CA04</x:v>
      </x:c>
      <x:c r="Q239" t="str">
        <x:v>P07-WP042</x:v>
      </x:c>
      <x:c r="R239" t="str">
        <x:v>Task</x:v>
      </x:c>
      <x:c r="S239" t="str">
        <x:v>Project-type realism</x:v>
      </x:c>
      <x:c r="T239" t="str">
        <x:v>Source-derived / reconstructed network</x:v>
      </x:c>
      <x:c r="U239" s="54" t="n">
        <x:v>46141</x:v>
      </x:c>
      <x:c r="V239" s="54" t="n">
        <x:v>46161</x:v>
      </x:c>
      <x:c r="W239" s="54" t="n">
        <x:v>46141</x:v>
      </x:c>
      <x:c r="X239" s="54" t="n">
        <x:v>46161</x:v>
      </x:c>
      <x:c r="Y239" s="78" t="n">
        <x:v>0</x:v>
      </x:c>
    </x:row>
    <x:row r="240" ht="21" customHeight="1">
      <x:c r="A240" t="str">
        <x:v>P07-A12</x:v>
      </x:c>
      <x:c r="B240" t="str">
        <x:v>P07</x:v>
      </x:c>
      <x:c r="C240" t="str">
        <x:v>Instrumentation &amp; Monitoring Installation</x:v>
      </x:c>
      <x:c r="D240" t="str">
        <x:v>1.07.4.3</x:v>
      </x:c>
      <x:c r="E240" s="54" t="n">
        <x:v>46162</x:v>
      </x:c>
      <x:c r="F240" s="54" t="n">
        <x:v>46175</x:v>
      </x:c>
      <x:c r="G240" s="54"/>
      <x:c r="H240" s="54"/>
      <x:c r="I240" s="54"/>
      <x:c r="J240" s="54"/>
      <x:c r="K240" t="n">
        <x:v>10</x:v>
      </x:c>
      <x:c r="L240" t="str">
        <x:v>P07-A11</x:v>
      </x:c>
      <x:c r="M240"/>
      <x:c r="N240" s="21" t="b">
        <x:v>0</x:v>
      </x:c>
      <x:c r="O240" s="21" t="b">
        <x:v>1</x:v>
      </x:c>
      <x:c r="P240" t="str">
        <x:v>P07-CA04</x:v>
      </x:c>
      <x:c r="Q240" t="str">
        <x:v>P07-WP043</x:v>
      </x:c>
      <x:c r="R240" t="str">
        <x:v>Task</x:v>
      </x:c>
      <x:c r="S240" t="str">
        <x:v>Project-type realism</x:v>
      </x:c>
      <x:c r="T240" t="str">
        <x:v>Source-derived / reconstructed network</x:v>
      </x:c>
      <x:c r="U240" s="54" t="n">
        <x:v>46162</x:v>
      </x:c>
      <x:c r="V240" s="54" t="n">
        <x:v>46175</x:v>
      </x:c>
      <x:c r="W240" s="54" t="n">
        <x:v>46162</x:v>
      </x:c>
      <x:c r="X240" s="54" t="n">
        <x:v>46175</x:v>
      </x:c>
      <x:c r="Y240" s="78" t="n">
        <x:v>0</x:v>
      </x:c>
    </x:row>
    <x:row r="241" ht="21" customHeight="1">
      <x:c r="A241" t="str">
        <x:v>P07-A13</x:v>
      </x:c>
      <x:c r="B241" t="str">
        <x:v>P07</x:v>
      </x:c>
      <x:c r="C241" t="str">
        <x:v>Electrical/Controls Integration</x:v>
      </x:c>
      <x:c r="D241" t="str">
        <x:v>1.07.4.3</x:v>
      </x:c>
      <x:c r="E241" s="54" t="n">
        <x:v>46176</x:v>
      </x:c>
      <x:c r="F241" s="54" t="n">
        <x:v>46189</x:v>
      </x:c>
      <x:c r="G241" s="54"/>
      <x:c r="H241" s="54"/>
      <x:c r="I241" s="54"/>
      <x:c r="J241" s="54"/>
      <x:c r="K241" t="n">
        <x:v>10</x:v>
      </x:c>
      <x:c r="L241" t="str">
        <x:v>P07-A12</x:v>
      </x:c>
      <x:c r="M241"/>
      <x:c r="N241" s="21" t="b">
        <x:v>0</x:v>
      </x:c>
      <x:c r="O241" s="21" t="b">
        <x:v>1</x:v>
      </x:c>
      <x:c r="P241" t="str">
        <x:v>P07-CA04</x:v>
      </x:c>
      <x:c r="Q241" t="str">
        <x:v>P07-WP043</x:v>
      </x:c>
      <x:c r="R241" t="str">
        <x:v>Task</x:v>
      </x:c>
      <x:c r="S241" t="str">
        <x:v>Project-type realism</x:v>
      </x:c>
      <x:c r="T241" t="str">
        <x:v>Source-derived / reconstructed network</x:v>
      </x:c>
      <x:c r="U241" s="54" t="n">
        <x:v>46176</x:v>
      </x:c>
      <x:c r="V241" s="54" t="n">
        <x:v>46189</x:v>
      </x:c>
      <x:c r="W241" s="54" t="n">
        <x:v>46176</x:v>
      </x:c>
      <x:c r="X241" s="54" t="n">
        <x:v>46189</x:v>
      </x:c>
      <x:c r="Y241" s="78" t="n">
        <x:v>0</x:v>
      </x:c>
    </x:row>
    <x:row r="242" ht="21" customHeight="1">
      <x:c r="A242" t="str">
        <x:v>P07-A14</x:v>
      </x:c>
      <x:c r="B242" t="str">
        <x:v>P07</x:v>
      </x:c>
      <x:c r="C242" t="str">
        <x:v>Pressure Testing &amp; Commissioning</x:v>
      </x:c>
      <x:c r="D242" t="str">
        <x:v>1.07.5.1</x:v>
      </x:c>
      <x:c r="E242" s="54" t="n">
        <x:v>46190</x:v>
      </x:c>
      <x:c r="F242" s="54" t="n">
        <x:v>46203</x:v>
      </x:c>
      <x:c r="G242" s="54"/>
      <x:c r="H242" s="54"/>
      <x:c r="I242" s="54"/>
      <x:c r="J242" s="54"/>
      <x:c r="K242" t="n">
        <x:v>10</x:v>
      </x:c>
      <x:c r="L242" t="str">
        <x:v>P07-A13</x:v>
      </x:c>
      <x:c r="M242"/>
      <x:c r="N242" s="21" t="b">
        <x:v>0</x:v>
      </x:c>
      <x:c r="O242" s="21" t="b">
        <x:v>1</x:v>
      </x:c>
      <x:c r="P242" t="str">
        <x:v>P07-CA05</x:v>
      </x:c>
      <x:c r="Q242" t="str">
        <x:v>P07-WP051</x:v>
      </x:c>
      <x:c r="R242" t="str">
        <x:v>Task</x:v>
      </x:c>
      <x:c r="S242" t="str">
        <x:v>Project-type realism</x:v>
      </x:c>
      <x:c r="T242" t="str">
        <x:v>Source-derived / reconstructed network</x:v>
      </x:c>
      <x:c r="U242" s="54" t="n">
        <x:v>46190</x:v>
      </x:c>
      <x:c r="V242" s="54" t="n">
        <x:v>46203</x:v>
      </x:c>
      <x:c r="W242" s="54" t="n">
        <x:v>46190</x:v>
      </x:c>
      <x:c r="X242" s="54" t="n">
        <x:v>46203</x:v>
      </x:c>
      <x:c r="Y242" s="78" t="n">
        <x:v>0</x:v>
      </x:c>
    </x:row>
    <x:row r="243" ht="21" customHeight="1">
      <x:c r="A243" t="str">
        <x:v>P07-MCOMM</x:v>
      </x:c>
      <x:c r="B243" t="str">
        <x:v>P07</x:v>
      </x:c>
      <x:c r="C243" t="str">
        <x:v>MCOMM</x:v>
      </x:c>
      <x:c r="D243" t="str">
        <x:v>1.07.4.1</x:v>
      </x:c>
      <x:c r="E243" s="54" t="n">
        <x:v>46203</x:v>
      </x:c>
      <x:c r="F243" s="54" t="n">
        <x:v>46203</x:v>
      </x:c>
      <x:c r="G243" s="54"/>
      <x:c r="H243" s="54"/>
      <x:c r="I243" s="54"/>
      <x:c r="J243" s="54"/>
      <x:c r="K243" t="n">
        <x:v>0</x:v>
      </x:c>
      <x:c r="L243" t="str">
        <x:v>P07-A14</x:v>
      </x:c>
      <x:c r="M243"/>
      <x:c r="N243" s="21" t="b">
        <x:v>1</x:v>
      </x:c>
      <x:c r="O243" s="21" t="b">
        <x:v>0</x:v>
      </x:c>
      <x:c r="P243" t="str">
        <x:v>P07-CA04</x:v>
      </x:c>
      <x:c r="Q243" t="str">
        <x:v>P07-WP041</x:v>
      </x:c>
      <x:c r="R243" t="str">
        <x:v>Milestone</x:v>
      </x:c>
      <x:c r="S243" t="str">
        <x:v>Approved milestone / interface milestone</x:v>
      </x:c>
      <x:c r="T243" t="str">
        <x:v>Source-explicit milestone date</x:v>
      </x:c>
      <x:c r="U243" s="54" t="n">
        <x:v>46203</x:v>
      </x:c>
      <x:c r="V243" s="54" t="n">
        <x:v>46203</x:v>
      </x:c>
      <x:c r="W243" s="54" t="n">
        <x:v>46266</x:v>
      </x:c>
      <x:c r="X243" s="54" t="n">
        <x:v>46266</x:v>
      </x:c>
      <x:c r="Y243" s="78" t="n">
        <x:v>45</x:v>
      </x:c>
    </x:row>
    <x:row r="244" ht="21" customHeight="1">
      <x:c r="A244" t="str">
        <x:v>P07-A15</x:v>
      </x:c>
      <x:c r="B244" t="str">
        <x:v>P07</x:v>
      </x:c>
      <x:c r="C244" t="str">
        <x:v>System Balancing &amp; Optimization</x:v>
      </x:c>
      <x:c r="D244" t="str">
        <x:v>1.07.5.1</x:v>
      </x:c>
      <x:c r="E244" s="54" t="n">
        <x:v>46204</x:v>
      </x:c>
      <x:c r="F244" s="54" t="n">
        <x:v>46224</x:v>
      </x:c>
      <x:c r="G244" s="54"/>
      <x:c r="H244" s="54"/>
      <x:c r="I244" s="54"/>
      <x:c r="J244" s="54"/>
      <x:c r="K244" t="n">
        <x:v>15</x:v>
      </x:c>
      <x:c r="L244" t="str">
        <x:v>P07-A14</x:v>
      </x:c>
      <x:c r="M244"/>
      <x:c r="N244" s="21" t="b">
        <x:v>0</x:v>
      </x:c>
      <x:c r="O244" s="21" t="b">
        <x:v>1</x:v>
      </x:c>
      <x:c r="P244" t="str">
        <x:v>P07-CA05</x:v>
      </x:c>
      <x:c r="Q244" t="str">
        <x:v>P07-WP051</x:v>
      </x:c>
      <x:c r="R244" t="str">
        <x:v>Task</x:v>
      </x:c>
      <x:c r="S244" t="str">
        <x:v>Synthetic, industry-informed planning assumption</x:v>
      </x:c>
      <x:c r="T244" t="str">
        <x:v>Source-derived / reconstructed network</x:v>
      </x:c>
      <x:c r="U244" s="54" t="n">
        <x:v>46204</x:v>
      </x:c>
      <x:c r="V244" s="54" t="n">
        <x:v>46224</x:v>
      </x:c>
      <x:c r="W244" s="54" t="n">
        <x:v>46204</x:v>
      </x:c>
      <x:c r="X244" s="54" t="n">
        <x:v>46224</x:v>
      </x:c>
      <x:c r="Y244" s="78" t="n">
        <x:v>0</x:v>
      </x:c>
    </x:row>
    <x:row r="245" ht="21" customHeight="1">
      <x:c r="A245" t="str">
        <x:v>P07-MBAL</x:v>
      </x:c>
      <x:c r="B245" t="str">
        <x:v>P07</x:v>
      </x:c>
      <x:c r="C245" t="str">
        <x:v>MBAL</x:v>
      </x:c>
      <x:c r="D245" t="str">
        <x:v>1.07.4.1</x:v>
      </x:c>
      <x:c r="E245" s="54" t="n">
        <x:v>46224</x:v>
      </x:c>
      <x:c r="F245" s="54" t="n">
        <x:v>46224</x:v>
      </x:c>
      <x:c r="G245" s="54"/>
      <x:c r="H245" s="54"/>
      <x:c r="I245" s="54"/>
      <x:c r="J245" s="54"/>
      <x:c r="K245" t="n">
        <x:v>0</x:v>
      </x:c>
      <x:c r="L245" t="str">
        <x:v>P07-A15</x:v>
      </x:c>
      <x:c r="M245"/>
      <x:c r="N245" s="21" t="b">
        <x:v>1</x:v>
      </x:c>
      <x:c r="O245" s="21" t="b">
        <x:v>0</x:v>
      </x:c>
      <x:c r="P245" t="str">
        <x:v>P07-CA04</x:v>
      </x:c>
      <x:c r="Q245" t="str">
        <x:v>P07-WP041</x:v>
      </x:c>
      <x:c r="R245" t="str">
        <x:v>Milestone</x:v>
      </x:c>
      <x:c r="S245" t="str">
        <x:v>Approved milestone / interface milestone</x:v>
      </x:c>
      <x:c r="T245" t="str">
        <x:v>Source-explicit milestone date</x:v>
      </x:c>
      <x:c r="U245" s="54" t="n">
        <x:v>46224</x:v>
      </x:c>
      <x:c r="V245" s="54" t="n">
        <x:v>46224</x:v>
      </x:c>
      <x:c r="W245" s="54" t="n">
        <x:v>46266</x:v>
      </x:c>
      <x:c r="X245" s="54" t="n">
        <x:v>46266</x:v>
      </x:c>
      <x:c r="Y245" s="78" t="n">
        <x:v>30</x:v>
      </x:c>
    </x:row>
    <x:row r="246" ht="21" customHeight="1">
      <x:c r="A246" t="str">
        <x:v>P07-A16</x:v>
      </x:c>
      <x:c r="B246" t="str">
        <x:v>P07</x:v>
      </x:c>
      <x:c r="C246" t="str">
        <x:v>Final Inspection &amp; Punch List</x:v>
      </x:c>
      <x:c r="D246" t="str">
        <x:v>1.07.4.1</x:v>
      </x:c>
      <x:c r="E246" s="54" t="n">
        <x:v>46225</x:v>
      </x:c>
      <x:c r="F246" s="54" t="n">
        <x:v>46238</x:v>
      </x:c>
      <x:c r="G246" s="54"/>
      <x:c r="H246" s="54"/>
      <x:c r="I246" s="54"/>
      <x:c r="J246" s="54"/>
      <x:c r="K246" t="n">
        <x:v>10</x:v>
      </x:c>
      <x:c r="L246" t="str">
        <x:v>P07-A15</x:v>
      </x:c>
      <x:c r="M246"/>
      <x:c r="N246" s="21" t="b">
        <x:v>0</x:v>
      </x:c>
      <x:c r="O246" s="21" t="b">
        <x:v>1</x:v>
      </x:c>
      <x:c r="P246" t="str">
        <x:v>P07-CA04</x:v>
      </x:c>
      <x:c r="Q246" t="str">
        <x:v>P07-WP041</x:v>
      </x:c>
      <x:c r="R246" t="str">
        <x:v>Task</x:v>
      </x:c>
      <x:c r="S246" t="str">
        <x:v>Project-type realism</x:v>
      </x:c>
      <x:c r="T246" t="str">
        <x:v>Source-derived / reconstructed network</x:v>
      </x:c>
      <x:c r="U246" s="54" t="n">
        <x:v>46225</x:v>
      </x:c>
      <x:c r="V246" s="54" t="n">
        <x:v>46238</x:v>
      </x:c>
      <x:c r="W246" s="54" t="n">
        <x:v>46225</x:v>
      </x:c>
      <x:c r="X246" s="54" t="n">
        <x:v>46238</x:v>
      </x:c>
      <x:c r="Y246" s="78" t="n">
        <x:v>0</x:v>
      </x:c>
    </x:row>
    <x:row r="247" ht="21" customHeight="1">
      <x:c r="A247" t="str">
        <x:v>P07-M3</x:v>
      </x:c>
      <x:c r="B247" t="str">
        <x:v>P07</x:v>
      </x:c>
      <x:c r="C247" t="str">
        <x:v>Substantial Completion</x:v>
      </x:c>
      <x:c r="D247" t="str">
        <x:v>1.07.4.1</x:v>
      </x:c>
      <x:c r="E247" s="54" t="n">
        <x:v>46238</x:v>
      </x:c>
      <x:c r="F247" s="54" t="n">
        <x:v>46238</x:v>
      </x:c>
      <x:c r="G247" s="54"/>
      <x:c r="H247" s="54"/>
      <x:c r="I247" s="54"/>
      <x:c r="J247" s="54"/>
      <x:c r="K247" t="n">
        <x:v>0</x:v>
      </x:c>
      <x:c r="L247" t="str">
        <x:v>P07-A16</x:v>
      </x:c>
      <x:c r="M247"/>
      <x:c r="N247" s="21" t="b">
        <x:v>1</x:v>
      </x:c>
      <x:c r="O247" s="21" t="b">
        <x:v>0</x:v>
      </x:c>
      <x:c r="P247" t="str">
        <x:v>P07-CA04</x:v>
      </x:c>
      <x:c r="Q247" t="str">
        <x:v>P07-WP041</x:v>
      </x:c>
      <x:c r="R247" t="str">
        <x:v>Milestone</x:v>
      </x:c>
      <x:c r="S247" t="str">
        <x:v>Approved milestone / interface milestone</x:v>
      </x:c>
      <x:c r="T247" t="str">
        <x:v>Source-explicit milestone date</x:v>
      </x:c>
      <x:c r="U247" s="54" t="n">
        <x:v>46238</x:v>
      </x:c>
      <x:c r="V247" s="54" t="n">
        <x:v>46238</x:v>
      </x:c>
      <x:c r="W247" s="54" t="n">
        <x:v>46266</x:v>
      </x:c>
      <x:c r="X247" s="54" t="n">
        <x:v>46266</x:v>
      </x:c>
      <x:c r="Y247" s="78" t="n">
        <x:v>20</x:v>
      </x:c>
    </x:row>
    <x:row r="248" ht="21" customHeight="1">
      <x:c r="A248" t="str">
        <x:v>P07-A17</x:v>
      </x:c>
      <x:c r="B248" t="str">
        <x:v>P07</x:v>
      </x:c>
      <x:c r="C248" t="str">
        <x:v>Documentation &amp; Turnover</x:v>
      </x:c>
      <x:c r="D248" t="str">
        <x:v>1.07.6.1</x:v>
      </x:c>
      <x:c r="E248" s="54" t="n">
        <x:v>46239</x:v>
      </x:c>
      <x:c r="F248" s="54" t="n">
        <x:v>46252</x:v>
      </x:c>
      <x:c r="G248" s="54"/>
      <x:c r="H248" s="54"/>
      <x:c r="I248" s="54"/>
      <x:c r="J248" s="54"/>
      <x:c r="K248" t="n">
        <x:v>10</x:v>
      </x:c>
      <x:c r="L248" t="str">
        <x:v>P07-A16</x:v>
      </x:c>
      <x:c r="M248"/>
      <x:c r="N248" s="21" t="b">
        <x:v>0</x:v>
      </x:c>
      <x:c r="O248" s="21" t="b">
        <x:v>1</x:v>
      </x:c>
      <x:c r="P248" t="str">
        <x:v>P07-CA06</x:v>
      </x:c>
      <x:c r="Q248" t="str">
        <x:v>P07-WP061</x:v>
      </x:c>
      <x:c r="R248" t="str">
        <x:v>Task</x:v>
      </x:c>
      <x:c r="S248" t="str">
        <x:v>Project-type realism</x:v>
      </x:c>
      <x:c r="T248" t="str">
        <x:v>Source-derived / reconstructed network</x:v>
      </x:c>
      <x:c r="U248" s="54" t="n">
        <x:v>46239</x:v>
      </x:c>
      <x:c r="V248" s="54" t="n">
        <x:v>46252</x:v>
      </x:c>
      <x:c r="W248" s="54" t="n">
        <x:v>46239</x:v>
      </x:c>
      <x:c r="X248" s="54" t="n">
        <x:v>46252</x:v>
      </x:c>
      <x:c r="Y248" s="78" t="n">
        <x:v>0</x:v>
      </x:c>
    </x:row>
    <x:row r="249" ht="21" customHeight="1">
      <x:c r="A249" t="str">
        <x:v>P07-A18</x:v>
      </x:c>
      <x:c r="B249" t="str">
        <x:v>P07</x:v>
      </x:c>
      <x:c r="C249" t="str">
        <x:v>Financial Closeout</x:v>
      </x:c>
      <x:c r="D249" t="str">
        <x:v>1.07.6.2</x:v>
      </x:c>
      <x:c r="E249" s="54" t="n">
        <x:v>46246</x:v>
      </x:c>
      <x:c r="F249" s="54" t="n">
        <x:v>46266</x:v>
      </x:c>
      <x:c r="G249" s="54"/>
      <x:c r="H249" s="54"/>
      <x:c r="I249" s="54"/>
      <x:c r="J249" s="54"/>
      <x:c r="K249" t="n">
        <x:v>15</x:v>
      </x:c>
      <x:c r="L249" t="str">
        <x:v>P07-A17, P07-A16</x:v>
      </x:c>
      <x:c r="M249"/>
      <x:c r="N249" s="21" t="b">
        <x:v>0</x:v>
      </x:c>
      <x:c r="O249" s="21" t="b">
        <x:v>1</x:v>
      </x:c>
      <x:c r="P249" t="str">
        <x:v>P07-CA06</x:v>
      </x:c>
      <x:c r="Q249" t="str">
        <x:v>P07-WP062</x:v>
      </x:c>
      <x:c r="R249" t="str">
        <x:v>Task</x:v>
      </x:c>
      <x:c r="S249" t="str">
        <x:v>Project-type realism</x:v>
      </x:c>
      <x:c r="T249" t="str">
        <x:v>Recovered from approved P07 M3/M4 dates + SS+5 closeout overlap</x:v>
      </x:c>
      <x:c r="U249" s="54" t="n">
        <x:v>46246</x:v>
      </x:c>
      <x:c r="V249" s="54" t="n">
        <x:v>46266</x:v>
      </x:c>
      <x:c r="W249" s="54" t="n">
        <x:v>46246</x:v>
      </x:c>
      <x:c r="X249" s="54" t="n">
        <x:v>46266</x:v>
      </x:c>
      <x:c r="Y249" s="78" t="n">
        <x:v>0</x:v>
      </x:c>
    </x:row>
    <x:row r="250" ht="21" customHeight="1">
      <x:c r="A250" t="str">
        <x:v>P07-M4</x:v>
      </x:c>
      <x:c r="B250" t="str">
        <x:v>P07</x:v>
      </x:c>
      <x:c r="C250" t="str">
        <x:v>Final Completion</x:v>
      </x:c>
      <x:c r="D250" t="str">
        <x:v>1.07.4.1</x:v>
      </x:c>
      <x:c r="E250" s="54" t="n">
        <x:v>46266</x:v>
      </x:c>
      <x:c r="F250" s="54" t="n">
        <x:v>46266</x:v>
      </x:c>
      <x:c r="G250" s="54"/>
      <x:c r="H250" s="54"/>
      <x:c r="I250" s="54"/>
      <x:c r="J250" s="54"/>
      <x:c r="K250" t="n">
        <x:v>0</x:v>
      </x:c>
      <x:c r="L250" t="str">
        <x:v>P07-A18</x:v>
      </x:c>
      <x:c r="M250"/>
      <x:c r="N250" s="21" t="b">
        <x:v>1</x:v>
      </x:c>
      <x:c r="O250" s="21" t="b">
        <x:v>1</x:v>
      </x:c>
      <x:c r="P250" t="str">
        <x:v>P07-CA04</x:v>
      </x:c>
      <x:c r="Q250" t="str">
        <x:v>P07-WP041</x:v>
      </x:c>
      <x:c r="R250" t="str">
        <x:v>Milestone</x:v>
      </x:c>
      <x:c r="S250" t="str">
        <x:v>Approved milestone / interface milestone</x:v>
      </x:c>
      <x:c r="T250" t="str">
        <x:v>Source-explicit milestone date</x:v>
      </x:c>
      <x:c r="U250" s="54" t="n">
        <x:v>46266</x:v>
      </x:c>
      <x:c r="V250" s="54" t="n">
        <x:v>46266</x:v>
      </x:c>
      <x:c r="W250" s="54" t="n">
        <x:v>46266</x:v>
      </x:c>
      <x:c r="X250" s="54" t="n">
        <x:v>46266</x:v>
      </x:c>
      <x:c r="Y250" s="78" t="n">
        <x:v>0</x:v>
      </x:c>
    </x:row>
    <x:row r="251" ht="21" customHeight="1">
      <x:c r="A251" t="str">
        <x:v>P08-A1</x:v>
      </x:c>
      <x:c r="B251" t="str">
        <x:v>P08</x:v>
      </x:c>
      <x:c r="C251" t="str">
        <x:v>Electrical Load / Resiliency Assessment</x:v>
      </x:c>
      <x:c r="D251" t="str">
        <x:v>1.08.1.1</x:v>
      </x:c>
      <x:c r="E251" s="54" t="n">
        <x:v>45992</x:v>
      </x:c>
      <x:c r="F251" s="54" t="n">
        <x:v>46010</x:v>
      </x:c>
      <x:c r="G251" s="54"/>
      <x:c r="H251" s="54"/>
      <x:c r="I251" s="54"/>
      <x:c r="J251" s="54"/>
      <x:c r="K251" t="n">
        <x:v>15</x:v>
      </x:c>
      <x:c r="L251" t="str"/>
      <x:c r="M251"/>
      <x:c r="N251" s="21" t="b">
        <x:v>0</x:v>
      </x:c>
      <x:c r="O251" s="21" t="b">
        <x:v>1</x:v>
      </x:c>
      <x:c r="P251" t="str">
        <x:v>P08-CA01</x:v>
      </x:c>
      <x:c r="Q251" t="str">
        <x:v>P08-WP011</x:v>
      </x:c>
      <x:c r="R251" t="str">
        <x:v>Task</x:v>
      </x:c>
      <x:c r="S251" t="str">
        <x:v>Project-type realism</x:v>
      </x:c>
      <x:c r="T251" t="str">
        <x:v>Source-derived / reconstructed network</x:v>
      </x:c>
      <x:c r="U251" s="54" t="n">
        <x:v>45992</x:v>
      </x:c>
      <x:c r="V251" s="54" t="n">
        <x:v>46010</x:v>
      </x:c>
      <x:c r="W251" s="54" t="n">
        <x:v>45992</x:v>
      </x:c>
      <x:c r="X251" s="54" t="n">
        <x:v>46010</x:v>
      </x:c>
      <x:c r="Y251" s="78" t="n">
        <x:v>0</x:v>
      </x:c>
    </x:row>
    <x:row r="252" ht="21" customHeight="1">
      <x:c r="A252" t="str">
        <x:v>P08-A2</x:v>
      </x:c>
      <x:c r="B252" t="str">
        <x:v>P08</x:v>
      </x:c>
      <x:c r="C252" t="str">
        <x:v>Project Definition &amp; Generator Sizing Basis</x:v>
      </x:c>
      <x:c r="D252" t="str">
        <x:v>1.08.1.2</x:v>
      </x:c>
      <x:c r="E252" s="54" t="n">
        <x:v>46013</x:v>
      </x:c>
      <x:c r="F252" s="54" t="n">
        <x:v>46024</x:v>
      </x:c>
      <x:c r="G252" s="54"/>
      <x:c r="H252" s="54"/>
      <x:c r="I252" s="54"/>
      <x:c r="J252" s="54"/>
      <x:c r="K252" t="n">
        <x:v>10</x:v>
      </x:c>
      <x:c r="L252" t="str">
        <x:v>P08-A1</x:v>
      </x:c>
      <x:c r="M252"/>
      <x:c r="N252" s="21" t="b">
        <x:v>0</x:v>
      </x:c>
      <x:c r="O252" s="21" t="b">
        <x:v>1</x:v>
      </x:c>
      <x:c r="P252" t="str">
        <x:v>P08-CA01</x:v>
      </x:c>
      <x:c r="Q252" t="str">
        <x:v>P08-WP012</x:v>
      </x:c>
      <x:c r="R252" t="str">
        <x:v>Task</x:v>
      </x:c>
      <x:c r="S252" t="str">
        <x:v>Project-type realism</x:v>
      </x:c>
      <x:c r="T252" t="str">
        <x:v>Source-derived / reconstructed network</x:v>
      </x:c>
      <x:c r="U252" s="54" t="n">
        <x:v>46013</x:v>
      </x:c>
      <x:c r="V252" s="54" t="n">
        <x:v>46024</x:v>
      </x:c>
      <x:c r="W252" s="54" t="n">
        <x:v>46013</x:v>
      </x:c>
      <x:c r="X252" s="54" t="n">
        <x:v>46024</x:v>
      </x:c>
      <x:c r="Y252" s="78" t="n">
        <x:v>0</x:v>
      </x:c>
    </x:row>
    <x:row r="253" ht="21" customHeight="1">
      <x:c r="A253" t="str">
        <x:v>P08-A3</x:v>
      </x:c>
      <x:c r="B253" t="str">
        <x:v>P08</x:v>
      </x:c>
      <x:c r="C253" t="str">
        <x:v>Preliminary Design — Switchgear/ATS &amp; Site Layout</x:v>
      </x:c>
      <x:c r="D253" t="str">
        <x:v>1.08.2.1</x:v>
      </x:c>
      <x:c r="E253" s="54" t="n">
        <x:v>46027</x:v>
      </x:c>
      <x:c r="F253" s="54" t="n">
        <x:v>46052</x:v>
      </x:c>
      <x:c r="G253" s="54"/>
      <x:c r="H253" s="54"/>
      <x:c r="I253" s="54"/>
      <x:c r="J253" s="54"/>
      <x:c r="K253" t="n">
        <x:v>20</x:v>
      </x:c>
      <x:c r="L253" t="str">
        <x:v>P08-A2</x:v>
      </x:c>
      <x:c r="M253"/>
      <x:c r="N253" s="21" t="b">
        <x:v>0</x:v>
      </x:c>
      <x:c r="O253" s="21" t="b">
        <x:v>1</x:v>
      </x:c>
      <x:c r="P253" t="str">
        <x:v>P08-CA02</x:v>
      </x:c>
      <x:c r="Q253" t="str">
        <x:v>P08-WP021</x:v>
      </x:c>
      <x:c r="R253" t="str">
        <x:v>Task</x:v>
      </x:c>
      <x:c r="S253" t="str">
        <x:v>Project-type realism</x:v>
      </x:c>
      <x:c r="T253" t="str">
        <x:v>Source-derived / reconstructed network</x:v>
      </x:c>
      <x:c r="U253" s="54" t="n">
        <x:v>46027</x:v>
      </x:c>
      <x:c r="V253" s="54" t="n">
        <x:v>46052</x:v>
      </x:c>
      <x:c r="W253" s="54" t="n">
        <x:v>46027</x:v>
      </x:c>
      <x:c r="X253" s="54" t="n">
        <x:v>46052</x:v>
      </x:c>
      <x:c r="Y253" s="78" t="n">
        <x:v>0</x:v>
      </x:c>
    </x:row>
    <x:row r="254" ht="21" customHeight="1">
      <x:c r="A254" t="str">
        <x:v>P08-A7</x:v>
      </x:c>
      <x:c r="B254" t="str">
        <x:v>P08</x:v>
      </x:c>
      <x:c r="C254" t="str">
        <x:v>Electric Utility Coordination</x:v>
      </x:c>
      <x:c r="D254" t="str">
        <x:v>1.08.4.1</x:v>
      </x:c>
      <x:c r="E254" s="54" t="n">
        <x:v>46041</x:v>
      </x:c>
      <x:c r="F254" s="54" t="n">
        <x:v>46059</x:v>
      </x:c>
      <x:c r="G254" s="54"/>
      <x:c r="H254" s="54"/>
      <x:c r="I254" s="54"/>
      <x:c r="J254" s="54"/>
      <x:c r="K254" t="n">
        <x:v>15</x:v>
      </x:c>
      <x:c r="L254" t="str">
        <x:v>P08-A3</x:v>
      </x:c>
      <x:c r="M254"/>
      <x:c r="N254" s="21" t="b">
        <x:v>0</x:v>
      </x:c>
      <x:c r="O254" s="21" t="b">
        <x:v>0</x:v>
      </x:c>
      <x:c r="P254" t="str">
        <x:v>P08-CA04</x:v>
      </x:c>
      <x:c r="Q254" t="str">
        <x:v>P08-WP041</x:v>
      </x:c>
      <x:c r="R254" t="str">
        <x:v>Task</x:v>
      </x:c>
      <x:c r="S254" t="str">
        <x:v>Project-type realism</x:v>
      </x:c>
      <x:c r="T254" t="str">
        <x:v>Source-derived / reconstructed network</x:v>
      </x:c>
      <x:c r="U254" s="54" t="n">
        <x:v>46041</x:v>
      </x:c>
      <x:c r="V254" s="54" t="n">
        <x:v>46059</x:v>
      </x:c>
      <x:c r="W254" s="54" t="n">
        <x:v>46377</x:v>
      </x:c>
      <x:c r="X254" s="54" t="n">
        <x:v>46395</x:v>
      </x:c>
      <x:c r="Y254" s="78" t="n">
        <x:v>240</x:v>
      </x:c>
    </x:row>
    <x:row r="255" ht="21" customHeight="1">
      <x:c r="A255" t="str">
        <x:v>P08-A4</x:v>
      </x:c>
      <x:c r="B255" t="str">
        <x:v>P08</x:v>
      </x:c>
      <x:c r="C255" t="str">
        <x:v>Final Design — Switchgear/ATS &amp; Site Layout</x:v>
      </x:c>
      <x:c r="D255" t="str">
        <x:v>1.08.2.2</x:v>
      </x:c>
      <x:c r="E255" s="54" t="n">
        <x:v>46062</x:v>
      </x:c>
      <x:c r="F255" s="54" t="n">
        <x:v>46087</x:v>
      </x:c>
      <x:c r="G255" s="54"/>
      <x:c r="H255" s="54"/>
      <x:c r="I255" s="54"/>
      <x:c r="J255" s="54"/>
      <x:c r="K255" t="n">
        <x:v>20</x:v>
      </x:c>
      <x:c r="L255" t="str">
        <x:v>P08-A3</x:v>
      </x:c>
      <x:c r="M255"/>
      <x:c r="N255" s="21" t="b">
        <x:v>0</x:v>
      </x:c>
      <x:c r="O255" s="21" t="b">
        <x:v>1</x:v>
      </x:c>
      <x:c r="P255" t="str">
        <x:v>P08-CA02</x:v>
      </x:c>
      <x:c r="Q255" t="str">
        <x:v>P08-WP022</x:v>
      </x:c>
      <x:c r="R255" t="str">
        <x:v>Task</x:v>
      </x:c>
      <x:c r="S255" t="str">
        <x:v>Project-type realism; +5bd review lag in logic</x:v>
      </x:c>
      <x:c r="T255" t="str">
        <x:v>Source-derived / reconstructed network</x:v>
      </x:c>
      <x:c r="U255" s="54" t="n">
        <x:v>46062</x:v>
      </x:c>
      <x:c r="V255" s="54" t="n">
        <x:v>46087</x:v>
      </x:c>
      <x:c r="W255" s="54" t="n">
        <x:v>46062</x:v>
      </x:c>
      <x:c r="X255" s="54" t="n">
        <x:v>46087</x:v>
      </x:c>
      <x:c r="Y255" s="78" t="n">
        <x:v>0</x:v>
      </x:c>
    </x:row>
    <x:row r="256" ht="21" customHeight="1">
      <x:c r="A256" t="str">
        <x:v>P08-A5</x:v>
      </x:c>
      <x:c r="B256" t="str">
        <x:v>P08</x:v>
      </x:c>
      <x:c r="C256" t="str">
        <x:v>Bid Advertisement</x:v>
      </x:c>
      <x:c r="D256" t="str">
        <x:v>1.08.3.1</x:v>
      </x:c>
      <x:c r="E256" s="54" t="n">
        <x:v>46076</x:v>
      </x:c>
      <x:c r="F256" s="54" t="n">
        <x:v>46094</x:v>
      </x:c>
      <x:c r="G256" s="54"/>
      <x:c r="H256" s="54"/>
      <x:c r="I256" s="54"/>
      <x:c r="J256" s="54"/>
      <x:c r="K256" t="n">
        <x:v>15</x:v>
      </x:c>
      <x:c r="L256" t="str">
        <x:v>P08-A4</x:v>
      </x:c>
      <x:c r="M256"/>
      <x:c r="N256" s="21" t="b">
        <x:v>0</x:v>
      </x:c>
      <x:c r="O256" s="21" t="b">
        <x:v>1</x:v>
      </x:c>
      <x:c r="P256" t="str">
        <x:v>P08-CA03</x:v>
      </x:c>
      <x:c r="Q256" t="str">
        <x:v>P08-WP031</x:v>
      </x:c>
      <x:c r="R256" t="str">
        <x:v>Task</x:v>
      </x:c>
      <x:c r="S256" t="str">
        <x:v>Project-type realism</x:v>
      </x:c>
      <x:c r="T256" t="str">
        <x:v>Source-derived / reconstructed network</x:v>
      </x:c>
      <x:c r="U256" s="54" t="n">
        <x:v>46076</x:v>
      </x:c>
      <x:c r="V256" s="54" t="n">
        <x:v>46094</x:v>
      </x:c>
      <x:c r="W256" s="54" t="n">
        <x:v>46076</x:v>
      </x:c>
      <x:c r="X256" s="54" t="n">
        <x:v>46094</x:v>
      </x:c>
      <x:c r="Y256" s="78" t="n">
        <x:v>0</x:v>
      </x:c>
    </x:row>
    <x:row r="257" ht="21" customHeight="1">
      <x:c r="A257" t="str">
        <x:v>P08-I-P08-01</x:v>
      </x:c>
      <x:c r="B257" t="str">
        <x:v>P08</x:v>
      </x:c>
      <x:c r="C257" t="str">
        <x:v>Generator/ATS Controls Design Freeze</x:v>
      </x:c>
      <x:c r="D257" t="str">
        <x:v>1.08.4.2</x:v>
      </x:c>
      <x:c r="E257" s="54" t="n">
        <x:v>46087</x:v>
      </x:c>
      <x:c r="F257" s="54" t="n">
        <x:v>46087</x:v>
      </x:c>
      <x:c r="G257" s="54"/>
      <x:c r="H257" s="54"/>
      <x:c r="I257" s="54"/>
      <x:c r="J257" s="54"/>
      <x:c r="K257" t="n">
        <x:v>0</x:v>
      </x:c>
      <x:c r="L257" t="str">
        <x:v>P08-M1</x:v>
      </x:c>
      <x:c r="M257"/>
      <x:c r="N257" s="21" t="b">
        <x:v>1</x:v>
      </x:c>
      <x:c r="O257" s="21" t="b">
        <x:v>0</x:v>
      </x:c>
      <x:c r="P257" t="str">
        <x:v>P08-CA04</x:v>
      </x:c>
      <x:c r="Q257" t="str">
        <x:v>P08-WP042</x:v>
      </x:c>
      <x:c r="R257" t="str">
        <x:v>Milestone</x:v>
      </x:c>
      <x:c r="S257" t="str">
        <x:v>Approved milestone / interface milestone</x:v>
      </x:c>
      <x:c r="T257" t="str">
        <x:v>Source-explicit milestone date</x:v>
      </x:c>
      <x:c r="U257" s="54" t="n">
        <x:v>46087</x:v>
      </x:c>
      <x:c r="V257" s="54" t="n">
        <x:v>46087</x:v>
      </x:c>
      <x:c r="W257" s="54" t="n">
        <x:v>46395</x:v>
      </x:c>
      <x:c r="X257" s="54" t="n">
        <x:v>46395</x:v>
      </x:c>
      <x:c r="Y257" s="78" t="n">
        <x:v>220</x:v>
      </x:c>
    </x:row>
    <x:row r="258" ht="21" customHeight="1">
      <x:c r="A258" t="str">
        <x:v>P08-M1</x:v>
      </x:c>
      <x:c r="B258" t="str">
        <x:v>P08</x:v>
      </x:c>
      <x:c r="C258" t="str">
        <x:v>Design Complete</x:v>
      </x:c>
      <x:c r="D258" t="str">
        <x:v>1.08.4.1</x:v>
      </x:c>
      <x:c r="E258" s="54" t="n">
        <x:v>46087</x:v>
      </x:c>
      <x:c r="F258" s="54" t="n">
        <x:v>46087</x:v>
      </x:c>
      <x:c r="G258" s="54"/>
      <x:c r="H258" s="54"/>
      <x:c r="I258" s="54"/>
      <x:c r="J258" s="54"/>
      <x:c r="K258" t="n">
        <x:v>0</x:v>
      </x:c>
      <x:c r="L258" t="str">
        <x:v>P08-A4</x:v>
      </x:c>
      <x:c r="M258"/>
      <x:c r="N258" s="21" t="b">
        <x:v>1</x:v>
      </x:c>
      <x:c r="O258" s="21" t="b">
        <x:v>0</x:v>
      </x:c>
      <x:c r="P258" t="str">
        <x:v>P08-CA04</x:v>
      </x:c>
      <x:c r="Q258" t="str">
        <x:v>P08-WP041</x:v>
      </x:c>
      <x:c r="R258" t="str">
        <x:v>Milestone</x:v>
      </x:c>
      <x:c r="S258" t="str">
        <x:v>Approved milestone / interface milestone</x:v>
      </x:c>
      <x:c r="T258" t="str">
        <x:v>Source-explicit milestone date</x:v>
      </x:c>
      <x:c r="U258" s="54" t="n">
        <x:v>46087</x:v>
      </x:c>
      <x:c r="V258" s="54" t="n">
        <x:v>46087</x:v>
      </x:c>
      <x:c r="W258" s="54" t="n">
        <x:v>46395</x:v>
      </x:c>
      <x:c r="X258" s="54" t="n">
        <x:v>46395</x:v>
      </x:c>
      <x:c r="Y258" s="78" t="n">
        <x:v>220</x:v>
      </x:c>
    </x:row>
    <x:row r="259" ht="21" customHeight="1">
      <x:c r="A259" t="str">
        <x:v>P08-A4b</x:v>
      </x:c>
      <x:c r="B259" t="str">
        <x:v>P08</x:v>
      </x:c>
      <x:c r="C259" t="str">
        <x:v>Regulatory Plan Review &amp; Approval</x:v>
      </x:c>
      <x:c r="D259" t="str">
        <x:v>1.08.2.2</x:v>
      </x:c>
      <x:c r="E259" s="54" t="n">
        <x:v>46090</x:v>
      </x:c>
      <x:c r="F259" s="54" t="n">
        <x:v>46108</x:v>
      </x:c>
      <x:c r="G259" s="54"/>
      <x:c r="H259" s="54"/>
      <x:c r="I259" s="54"/>
      <x:c r="J259" s="54"/>
      <x:c r="K259" t="n">
        <x:v>15</x:v>
      </x:c>
      <x:c r="L259" t="str">
        <x:v>P08-A4</x:v>
      </x:c>
      <x:c r="M259"/>
      <x:c r="N259" s="21" t="b">
        <x:v>0</x:v>
      </x:c>
      <x:c r="O259" s="21" t="b">
        <x:v>0</x:v>
      </x:c>
      <x:c r="P259" t="str">
        <x:v>P08-CA02</x:v>
      </x:c>
      <x:c r="Q259" t="str">
        <x:v>P08-WP022</x:v>
      </x:c>
      <x:c r="R259" t="str">
        <x:v>Task</x:v>
      </x:c>
      <x:c r="S259" t="str">
        <x:v>Project-type realism</x:v>
      </x:c>
      <x:c r="T259" t="str">
        <x:v>Source-derived / reconstructed network</x:v>
      </x:c>
      <x:c r="U259" s="54" t="n">
        <x:v>46090</x:v>
      </x:c>
      <x:c r="V259" s="54" t="n">
        <x:v>46108</x:v>
      </x:c>
      <x:c r="W259" s="54" t="n">
        <x:v>46118</x:v>
      </x:c>
      <x:c r="X259" s="54" t="n">
        <x:v>46136</x:v>
      </x:c>
      <x:c r="Y259" s="78" t="n">
        <x:v>20</x:v>
      </x:c>
    </x:row>
    <x:row r="260" ht="21" customHeight="1">
      <x:c r="A260" t="str">
        <x:v>P08-A5b</x:v>
      </x:c>
      <x:c r="B260" t="str">
        <x:v>P08</x:v>
      </x:c>
      <x:c r="C260" t="str">
        <x:v>Evaluation &amp; Award</x:v>
      </x:c>
      <x:c r="D260" t="str">
        <x:v>1.08.3.1</x:v>
      </x:c>
      <x:c r="E260" s="54" t="n">
        <x:v>46097</x:v>
      </x:c>
      <x:c r="F260" s="54" t="n">
        <x:v>46108</x:v>
      </x:c>
      <x:c r="G260" s="54"/>
      <x:c r="H260" s="54"/>
      <x:c r="I260" s="54"/>
      <x:c r="J260" s="54"/>
      <x:c r="K260" t="n">
        <x:v>10</x:v>
      </x:c>
      <x:c r="L260" t="str">
        <x:v>P08-A5</x:v>
      </x:c>
      <x:c r="M260"/>
      <x:c r="N260" s="21" t="b">
        <x:v>0</x:v>
      </x:c>
      <x:c r="O260" s="21" t="b">
        <x:v>1</x:v>
      </x:c>
      <x:c r="P260" t="str">
        <x:v>P08-CA03</x:v>
      </x:c>
      <x:c r="Q260" t="str">
        <x:v>P08-WP031</x:v>
      </x:c>
      <x:c r="R260" t="str">
        <x:v>Task</x:v>
      </x:c>
      <x:c r="S260" t="str">
        <x:v>Project-type realism</x:v>
      </x:c>
      <x:c r="T260" t="str">
        <x:v>Source-derived / reconstructed network</x:v>
      </x:c>
      <x:c r="U260" s="54" t="n">
        <x:v>46097</x:v>
      </x:c>
      <x:c r="V260" s="54" t="n">
        <x:v>46108</x:v>
      </x:c>
      <x:c r="W260" s="54" t="n">
        <x:v>46097</x:v>
      </x:c>
      <x:c r="X260" s="54" t="n">
        <x:v>46108</x:v>
      </x:c>
      <x:c r="Y260" s="78" t="n">
        <x:v>0</x:v>
      </x:c>
    </x:row>
    <x:row r="261" ht="21" customHeight="1">
      <x:c r="A261" t="str">
        <x:v>P08-A5c</x:v>
      </x:c>
      <x:c r="B261" t="str">
        <x:v>P08</x:v>
      </x:c>
      <x:c r="C261" t="str">
        <x:v>Governing Body Approval</x:v>
      </x:c>
      <x:c r="D261" t="str">
        <x:v>1.08.3.2</x:v>
      </x:c>
      <x:c r="E261" s="54" t="n">
        <x:v>46111</x:v>
      </x:c>
      <x:c r="F261" s="54" t="n">
        <x:v>46122</x:v>
      </x:c>
      <x:c r="G261" s="54"/>
      <x:c r="H261" s="54"/>
      <x:c r="I261" s="54"/>
      <x:c r="J261" s="54"/>
      <x:c r="K261" t="n">
        <x:v>10</x:v>
      </x:c>
      <x:c r="L261" t="str">
        <x:v>P08-A5b</x:v>
      </x:c>
      <x:c r="M261"/>
      <x:c r="N261" s="21" t="b">
        <x:v>0</x:v>
      </x:c>
      <x:c r="O261" s="21" t="b">
        <x:v>1</x:v>
      </x:c>
      <x:c r="P261" t="str">
        <x:v>P08-CA03</x:v>
      </x:c>
      <x:c r="Q261" t="str">
        <x:v>P08-WP032</x:v>
      </x:c>
      <x:c r="R261" t="str">
        <x:v>Task</x:v>
      </x:c>
      <x:c r="S261" t="str">
        <x:v>Project-type realism</x:v>
      </x:c>
      <x:c r="T261" t="str">
        <x:v>Source-derived / reconstructed network</x:v>
      </x:c>
      <x:c r="U261" s="54" t="n">
        <x:v>46111</x:v>
      </x:c>
      <x:c r="V261" s="54" t="n">
        <x:v>46122</x:v>
      </x:c>
      <x:c r="W261" s="54" t="n">
        <x:v>46111</x:v>
      </x:c>
      <x:c r="X261" s="54" t="n">
        <x:v>46122</x:v>
      </x:c>
      <x:c r="Y261" s="78" t="n">
        <x:v>0</x:v>
      </x:c>
    </x:row>
    <x:row r="262" ht="21" customHeight="1">
      <x:c r="A262" t="str">
        <x:v>P08-M2</x:v>
      </x:c>
      <x:c r="B262" t="str">
        <x:v>P08</x:v>
      </x:c>
      <x:c r="C262" t="str">
        <x:v>Contract Award / NTP</x:v>
      </x:c>
      <x:c r="D262" t="str">
        <x:v>1.08.4.1</x:v>
      </x:c>
      <x:c r="E262" s="54" t="n">
        <x:v>46136</x:v>
      </x:c>
      <x:c r="F262" s="54" t="n">
        <x:v>46136</x:v>
      </x:c>
      <x:c r="G262" s="54"/>
      <x:c r="H262" s="54"/>
      <x:c r="I262" s="54"/>
      <x:c r="J262" s="54"/>
      <x:c r="K262" t="n">
        <x:v>0</x:v>
      </x:c>
      <x:c r="L262" t="str">
        <x:v>P08-A5c, P08-A4b</x:v>
      </x:c>
      <x:c r="M262"/>
      <x:c r="N262" s="21" t="b">
        <x:v>1</x:v>
      </x:c>
      <x:c r="O262" s="21" t="b">
        <x:v>1</x:v>
      </x:c>
      <x:c r="P262" t="str">
        <x:v>P08-CA04</x:v>
      </x:c>
      <x:c r="Q262" t="str">
        <x:v>P08-WP041</x:v>
      </x:c>
      <x:c r="R262" t="str">
        <x:v>Milestone</x:v>
      </x:c>
      <x:c r="S262" t="str">
        <x:v>Approved milestone / interface milestone</x:v>
      </x:c>
      <x:c r="T262" t="str">
        <x:v>Source-explicit milestone date</x:v>
      </x:c>
      <x:c r="U262" s="54" t="n">
        <x:v>46136</x:v>
      </x:c>
      <x:c r="V262" s="54" t="n">
        <x:v>46136</x:v>
      </x:c>
      <x:c r="W262" s="54" t="n">
        <x:v>46136</x:v>
      </x:c>
      <x:c r="X262" s="54" t="n">
        <x:v>46136</x:v>
      </x:c>
      <x:c r="Y262" s="78" t="n">
        <x:v>0</x:v>
      </x:c>
    </x:row>
    <x:row r="263" ht="21" customHeight="1">
      <x:c r="A263" t="str">
        <x:v>P08-A13</x:v>
      </x:c>
      <x:c r="B263" t="str">
        <x:v>P08</x:v>
      </x:c>
      <x:c r="C263" t="str">
        <x:v>Site/Civil Preparation &amp; Concrete Pad/Enclosure Work</x:v>
      </x:c>
      <x:c r="D263" t="str">
        <x:v>1.08.4.1</x:v>
      </x:c>
      <x:c r="E263" s="54" t="n">
        <x:v>46139</x:v>
      </x:c>
      <x:c r="F263" s="54" t="n">
        <x:v>46157</x:v>
      </x:c>
      <x:c r="G263" s="54"/>
      <x:c r="H263" s="54"/>
      <x:c r="I263" s="54"/>
      <x:c r="J263" s="54"/>
      <x:c r="K263" t="n">
        <x:v>15</x:v>
      </x:c>
      <x:c r="L263" t="str">
        <x:v>P08-M2</x:v>
      </x:c>
      <x:c r="M263"/>
      <x:c r="N263" s="21" t="b">
        <x:v>0</x:v>
      </x:c>
      <x:c r="O263" s="21" t="b">
        <x:v>0</x:v>
      </x:c>
      <x:c r="P263" t="str">
        <x:v>P08-CA04</x:v>
      </x:c>
      <x:c r="Q263" t="str">
        <x:v>P08-WP041</x:v>
      </x:c>
      <x:c r="R263" t="str">
        <x:v>Task</x:v>
      </x:c>
      <x:c r="S263" t="str">
        <x:v>Project-type realism</x:v>
      </x:c>
      <x:c r="T263" t="str">
        <x:v>Source-derived / reconstructed network</x:v>
      </x:c>
      <x:c r="U263" s="54" t="n">
        <x:v>46139</x:v>
      </x:c>
      <x:c r="V263" s="54" t="n">
        <x:v>46157</x:v>
      </x:c>
      <x:c r="W263" s="54" t="n">
        <x:v>46265</x:v>
      </x:c>
      <x:c r="X263" s="54" t="n">
        <x:v>46283</x:v>
      </x:c>
      <x:c r="Y263" s="78" t="n">
        <x:v>90</x:v>
      </x:c>
    </x:row>
    <x:row r="264" ht="21" customHeight="1">
      <x:c r="A264" t="str">
        <x:v>P08-A14</x:v>
      </x:c>
      <x:c r="B264" t="str">
        <x:v>P08</x:v>
      </x:c>
      <x:c r="C264" t="str">
        <x:v>Outage/Shutdown Planning &amp; Operations Coordination</x:v>
      </x:c>
      <x:c r="D264" t="str">
        <x:v>1.08.4.1</x:v>
      </x:c>
      <x:c r="E264" s="54" t="n">
        <x:v>46139</x:v>
      </x:c>
      <x:c r="F264" s="54" t="n">
        <x:v>46150</x:v>
      </x:c>
      <x:c r="G264" s="54"/>
      <x:c r="H264" s="54"/>
      <x:c r="I264" s="54"/>
      <x:c r="J264" s="54"/>
      <x:c r="K264" t="n">
        <x:v>10</x:v>
      </x:c>
      <x:c r="L264" t="str">
        <x:v>P08-M2</x:v>
      </x:c>
      <x:c r="M264"/>
      <x:c r="N264" s="21" t="b">
        <x:v>0</x:v>
      </x:c>
      <x:c r="O264" s="21" t="b">
        <x:v>0</x:v>
      </x:c>
      <x:c r="P264" t="str">
        <x:v>P08-CA04</x:v>
      </x:c>
      <x:c r="Q264" t="str">
        <x:v>P08-WP041</x:v>
      </x:c>
      <x:c r="R264" t="str">
        <x:v>Task</x:v>
      </x:c>
      <x:c r="S264" t="str">
        <x:v>Synthetic project-specific planning assumption</x:v>
      </x:c>
      <x:c r="T264" t="str">
        <x:v>Source-derived / reconstructed network</x:v>
      </x:c>
      <x:c r="U264" s="54" t="n">
        <x:v>46139</x:v>
      </x:c>
      <x:c r="V264" s="54" t="n">
        <x:v>46150</x:v>
      </x:c>
      <x:c r="W264" s="54" t="n">
        <x:v>46153</x:v>
      </x:c>
      <x:c r="X264" s="54" t="n">
        <x:v>46164</x:v>
      </x:c>
      <x:c r="Y264" s="78" t="n">
        <x:v>10</x:v>
      </x:c>
    </x:row>
    <x:row r="265" ht="21" customHeight="1">
      <x:c r="A265" t="str">
        <x:v>P08-A6</x:v>
      </x:c>
      <x:c r="B265" t="str">
        <x:v>P08</x:v>
      </x:c>
      <x:c r="C265" t="str">
        <x:v>Contractor Mobilization</x:v>
      </x:c>
      <x:c r="D265" t="str">
        <x:v>1.08.3.2</x:v>
      </x:c>
      <x:c r="E265" s="54" t="n">
        <x:v>46139</x:v>
      </x:c>
      <x:c r="F265" s="54" t="n">
        <x:v>46150</x:v>
      </x:c>
      <x:c r="G265" s="54"/>
      <x:c r="H265" s="54"/>
      <x:c r="I265" s="54"/>
      <x:c r="J265" s="54"/>
      <x:c r="K265" t="n">
        <x:v>10</x:v>
      </x:c>
      <x:c r="L265" t="str">
        <x:v>P08-M2</x:v>
      </x:c>
      <x:c r="M265"/>
      <x:c r="N265" s="21" t="b">
        <x:v>0</x:v>
      </x:c>
      <x:c r="O265" s="21" t="b">
        <x:v>0</x:v>
      </x:c>
      <x:c r="P265" t="str">
        <x:v>P08-CA03</x:v>
      </x:c>
      <x:c r="Q265" t="str">
        <x:v>P08-WP032</x:v>
      </x:c>
      <x:c r="R265" t="str">
        <x:v>Task</x:v>
      </x:c>
      <x:c r="S265" t="str">
        <x:v>Project-type realism</x:v>
      </x:c>
      <x:c r="T265" t="str">
        <x:v>Source-derived / reconstructed network</x:v>
      </x:c>
      <x:c r="U265" s="54" t="n">
        <x:v>46139</x:v>
      </x:c>
      <x:c r="V265" s="54" t="n">
        <x:v>46150</x:v>
      </x:c>
      <x:c r="W265" s="54" t="n">
        <x:v>46384</x:v>
      </x:c>
      <x:c r="X265" s="54" t="n">
        <x:v>46395</x:v>
      </x:c>
      <x:c r="Y265" s="78" t="n">
        <x:v>175</x:v>
      </x:c>
    </x:row>
    <x:row r="266" ht="21" customHeight="1">
      <x:c r="A266" t="str">
        <x:v>P08-A8</x:v>
      </x:c>
      <x:c r="B266" t="str">
        <x:v>P08</x:v>
      </x:c>
      <x:c r="C266" t="str">
        <x:v>Generator/Switchgear Submittal Review</x:v>
      </x:c>
      <x:c r="D266" t="str">
        <x:v>1.08.3.1</x:v>
      </x:c>
      <x:c r="E266" s="54" t="n">
        <x:v>46139</x:v>
      </x:c>
      <x:c r="F266" s="54" t="n">
        <x:v>46157</x:v>
      </x:c>
      <x:c r="G266" s="54"/>
      <x:c r="H266" s="54"/>
      <x:c r="I266" s="54"/>
      <x:c r="J266" s="54"/>
      <x:c r="K266" t="n">
        <x:v>15</x:v>
      </x:c>
      <x:c r="L266" t="str">
        <x:v>P08-M2</x:v>
      </x:c>
      <x:c r="M266"/>
      <x:c r="N266" s="21" t="b">
        <x:v>0</x:v>
      </x:c>
      <x:c r="O266" s="21" t="b">
        <x:v>1</x:v>
      </x:c>
      <x:c r="P266" t="str">
        <x:v>P08-CA03</x:v>
      </x:c>
      <x:c r="Q266" t="str">
        <x:v>P08-WP031</x:v>
      </x:c>
      <x:c r="R266" t="str">
        <x:v>Task</x:v>
      </x:c>
      <x:c r="S266" t="str">
        <x:v>Project-type realism</x:v>
      </x:c>
      <x:c r="T266" t="str">
        <x:v>Source-derived / reconstructed network</x:v>
      </x:c>
      <x:c r="U266" s="54" t="n">
        <x:v>46139</x:v>
      </x:c>
      <x:c r="V266" s="54" t="n">
        <x:v>46157</x:v>
      </x:c>
      <x:c r="W266" s="54" t="n">
        <x:v>46139</x:v>
      </x:c>
      <x:c r="X266" s="54" t="n">
        <x:v>46157</x:v>
      </x:c>
      <x:c r="Y266" s="78" t="n">
        <x:v>0</x:v>
      </x:c>
    </x:row>
    <x:row r="267" ht="21" customHeight="1">
      <x:c r="A267" t="str">
        <x:v>P08-I-P08-02</x:v>
      </x:c>
      <x:c r="B267" t="str">
        <x:v>P08</x:v>
      </x:c>
      <x:c r="C267" t="str">
        <x:v>Approved Point List Available</x:v>
      </x:c>
      <x:c r="D267" t="str">
        <x:v>1.08.4.1</x:v>
      </x:c>
      <x:c r="E267" s="54" t="n">
        <x:v>46157</x:v>
      </x:c>
      <x:c r="F267" s="54" t="n">
        <x:v>46157</x:v>
      </x:c>
      <x:c r="G267" s="54"/>
      <x:c r="H267" s="54"/>
      <x:c r="I267" s="54"/>
      <x:c r="J267" s="54"/>
      <x:c r="K267" t="n">
        <x:v>0</x:v>
      </x:c>
      <x:c r="L267" t="str">
        <x:v>P08-A8</x:v>
      </x:c>
      <x:c r="M267"/>
      <x:c r="N267" s="21" t="b">
        <x:v>1</x:v>
      </x:c>
      <x:c r="O267" s="21" t="b">
        <x:v>0</x:v>
      </x:c>
      <x:c r="P267" t="str">
        <x:v>P08-CA04</x:v>
      </x:c>
      <x:c r="Q267" t="str">
        <x:v>P08-WP041</x:v>
      </x:c>
      <x:c r="R267" t="str">
        <x:v>Milestone</x:v>
      </x:c>
      <x:c r="S267" t="str">
        <x:v>Approved milestone / interface milestone</x:v>
      </x:c>
      <x:c r="T267" t="str">
        <x:v>Source-explicit milestone date</x:v>
      </x:c>
      <x:c r="U267" s="54" t="n">
        <x:v>46157</x:v>
      </x:c>
      <x:c r="V267" s="54" t="n">
        <x:v>46157</x:v>
      </x:c>
      <x:c r="W267" s="54" t="n">
        <x:v>46343</x:v>
      </x:c>
      <x:c r="X267" s="54" t="n">
        <x:v>46343</x:v>
      </x:c>
      <x:c r="Y267" s="78" t="n">
        <x:v>132</x:v>
      </x:c>
    </x:row>
    <x:row r="268" ht="21" customHeight="1">
      <x:c r="A268" t="str">
        <x:v>P08-A10</x:v>
      </x:c>
      <x:c r="B268" t="str">
        <x:v>P08</x:v>
      </x:c>
      <x:c r="C268" t="str">
        <x:v>Switchgear/ATS Fabrication</x:v>
      </x:c>
      <x:c r="D268" t="str">
        <x:v>1.08.4.2</x:v>
      </x:c>
      <x:c r="E268" s="54" t="n">
        <x:v>46160</x:v>
      </x:c>
      <x:c r="F268" s="54" t="n">
        <x:v>46241</x:v>
      </x:c>
      <x:c r="G268" s="54"/>
      <x:c r="H268" s="54"/>
      <x:c r="I268" s="54"/>
      <x:c r="J268" s="54"/>
      <x:c r="K268" t="n">
        <x:v>60</x:v>
      </x:c>
      <x:c r="L268" t="str">
        <x:v>P08-A8</x:v>
      </x:c>
      <x:c r="M268"/>
      <x:c r="N268" s="21" t="b">
        <x:v>0</x:v>
      </x:c>
      <x:c r="O268" s="21" t="b">
        <x:v>0</x:v>
      </x:c>
      <x:c r="P268" t="str">
        <x:v>P08-CA04</x:v>
      </x:c>
      <x:c r="Q268" t="str">
        <x:v>P08-WP042</x:v>
      </x:c>
      <x:c r="R268" t="str">
        <x:v>Task</x:v>
      </x:c>
      <x:c r="S268" t="str">
        <x:v>Synthetic, industry-informed planning assumption</x:v>
      </x:c>
      <x:c r="T268" t="str">
        <x:v>Source-derived / reconstructed network</x:v>
      </x:c>
      <x:c r="U268" s="54" t="n">
        <x:v>46160</x:v>
      </x:c>
      <x:c r="V268" s="54" t="n">
        <x:v>46241</x:v>
      </x:c>
      <x:c r="W268" s="54" t="n">
        <x:v>46178</x:v>
      </x:c>
      <x:c r="X268" s="54" t="n">
        <x:v>46261</x:v>
      </x:c>
      <x:c r="Y268" s="78" t="n">
        <x:v>14</x:v>
      </x:c>
    </x:row>
    <x:row r="269" ht="21" customHeight="1">
      <x:c r="A269" t="str">
        <x:v>P08-A9</x:v>
      </x:c>
      <x:c r="B269" t="str">
        <x:v>P08</x:v>
      </x:c>
      <x:c r="C269" t="str">
        <x:v>Generator Fabrication</x:v>
      </x:c>
      <x:c r="D269" t="str">
        <x:v>1.08.4.1</x:v>
      </x:c>
      <x:c r="E269" s="54" t="n">
        <x:v>46160</x:v>
      </x:c>
      <x:c r="F269" s="54" t="n">
        <x:v>46262</x:v>
      </x:c>
      <x:c r="G269" s="54"/>
      <x:c r="H269" s="54"/>
      <x:c r="I269" s="54"/>
      <x:c r="J269" s="54"/>
      <x:c r="K269" t="n">
        <x:v>75</x:v>
      </x:c>
      <x:c r="L269" t="str">
        <x:v>P08-A8</x:v>
      </x:c>
      <x:c r="M269"/>
      <x:c r="N269" s="21" t="b">
        <x:v>0</x:v>
      </x:c>
      <x:c r="O269" s="21" t="b">
        <x:v>1</x:v>
      </x:c>
      <x:c r="P269" t="str">
        <x:v>P08-CA04</x:v>
      </x:c>
      <x:c r="Q269" t="str">
        <x:v>P08-WP041</x:v>
      </x:c>
      <x:c r="R269" t="str">
        <x:v>Task</x:v>
      </x:c>
      <x:c r="S269" t="str">
        <x:v>Synthetic, industry-informed planning assumption</x:v>
      </x:c>
      <x:c r="T269" t="str">
        <x:v>Source-derived / reconstructed network</x:v>
      </x:c>
      <x:c r="U269" s="54" t="n">
        <x:v>46160</x:v>
      </x:c>
      <x:c r="V269" s="54" t="n">
        <x:v>46262</x:v>
      </x:c>
      <x:c r="W269" s="54" t="n">
        <x:v>46160</x:v>
      </x:c>
      <x:c r="X269" s="54" t="n">
        <x:v>46262</x:v>
      </x:c>
      <x:c r="Y269" s="78" t="n">
        <x:v>0</x:v>
      </x:c>
    </x:row>
    <x:row r="270" ht="21" customHeight="1">
      <x:c r="A270" t="str">
        <x:v>P08-MOUTAGE</x:v>
      </x:c>
      <x:c r="B270" t="str">
        <x:v>P08</x:v>
      </x:c>
      <x:c r="C270" t="str">
        <x:v>MOUTAGE</x:v>
      </x:c>
      <x:c r="D270" t="str">
        <x:v>1.08.4.1</x:v>
      </x:c>
      <x:c r="E270" s="54" t="n">
        <x:v>46164</x:v>
      </x:c>
      <x:c r="F270" s="54" t="n">
        <x:v>46164</x:v>
      </x:c>
      <x:c r="G270" s="54"/>
      <x:c r="H270" s="54"/>
      <x:c r="I270" s="54"/>
      <x:c r="J270" s="54"/>
      <x:c r="K270" t="n">
        <x:v>0</x:v>
      </x:c>
      <x:c r="L270" t="str">
        <x:v>P08-A14</x:v>
      </x:c>
      <x:c r="M270"/>
      <x:c r="N270" s="21" t="b">
        <x:v>1</x:v>
      </x:c>
      <x:c r="O270" s="21" t="b">
        <x:v>1</x:v>
      </x:c>
      <x:c r="P270" t="str">
        <x:v>P08-CA04</x:v>
      </x:c>
      <x:c r="Q270" t="str">
        <x:v>P08-WP041</x:v>
      </x:c>
      <x:c r="R270" t="str">
        <x:v>Milestone</x:v>
      </x:c>
      <x:c r="S270" t="str">
        <x:v>Approved milestone / interface milestone</x:v>
      </x:c>
      <x:c r="T270" t="str">
        <x:v>Source-explicit milestone date</x:v>
      </x:c>
      <x:c r="U270" s="54" t="n">
        <x:v>46164</x:v>
      </x:c>
      <x:c r="V270" s="54" t="n">
        <x:v>46164</x:v>
      </x:c>
      <x:c r="W270" s="54" t="n">
        <x:v>46164</x:v>
      </x:c>
      <x:c r="X270" s="54" t="n">
        <x:v>46164</x:v>
      </x:c>
      <x:c r="Y270" s="78" t="n">
        <x:v>0</x:v>
      </x:c>
    </x:row>
    <x:row r="271" ht="21" customHeight="1">
      <x:c r="A271" t="str">
        <x:v>P08-A10fat</x:v>
      </x:c>
      <x:c r="B271" t="str">
        <x:v>P08</x:v>
      </x:c>
      <x:c r="C271" t="str">
        <x:v>FAT — Switchgear/ATS</x:v>
      </x:c>
      <x:c r="D271" t="str">
        <x:v>1.08.4.2</x:v>
      </x:c>
      <x:c r="E271" s="54" t="n">
        <x:v>46244</x:v>
      </x:c>
      <x:c r="F271" s="54" t="n">
        <x:v>46253</x:v>
      </x:c>
      <x:c r="G271" s="54"/>
      <x:c r="H271" s="54"/>
      <x:c r="I271" s="54"/>
      <x:c r="J271" s="54"/>
      <x:c r="K271" t="n">
        <x:v>8</x:v>
      </x:c>
      <x:c r="L271" t="str">
        <x:v>P08-A10</x:v>
      </x:c>
      <x:c r="M271"/>
      <x:c r="N271" s="21" t="b">
        <x:v>0</x:v>
      </x:c>
      <x:c r="O271" s="21" t="b">
        <x:v>0</x:v>
      </x:c>
      <x:c r="P271" t="str">
        <x:v>P08-CA04</x:v>
      </x:c>
      <x:c r="Q271" t="str">
        <x:v>P08-WP042</x:v>
      </x:c>
      <x:c r="R271" t="str">
        <x:v>Task</x:v>
      </x:c>
      <x:c r="S271" t="str">
        <x:v>Synthetic project-specific planning assumption</x:v>
      </x:c>
      <x:c r="T271" t="str">
        <x:v>Source-derived / reconstructed network</x:v>
      </x:c>
      <x:c r="U271" s="54" t="n">
        <x:v>46244</x:v>
      </x:c>
      <x:c r="V271" s="54" t="n">
        <x:v>46253</x:v>
      </x:c>
      <x:c r="W271" s="54" t="n">
        <x:v>46262</x:v>
      </x:c>
      <x:c r="X271" s="54" t="n">
        <x:v>46273</x:v>
      </x:c>
      <x:c r="Y271" s="78" t="n">
        <x:v>14</x:v>
      </x:c>
    </x:row>
    <x:row r="272" ht="21" customHeight="1">
      <x:c r="A272" t="str">
        <x:v>P08-A12</x:v>
      </x:c>
      <x:c r="B272" t="str">
        <x:v>P08</x:v>
      </x:c>
      <x:c r="C272" t="str">
        <x:v>Delivery &amp; Receiving — Switchgear/ATS</x:v>
      </x:c>
      <x:c r="D272" t="str">
        <x:v>1.08.4.2</x:v>
      </x:c>
      <x:c r="E272" s="54" t="n">
        <x:v>46254</x:v>
      </x:c>
      <x:c r="F272" s="54" t="n">
        <x:v>46265</x:v>
      </x:c>
      <x:c r="G272" s="54"/>
      <x:c r="H272" s="54"/>
      <x:c r="I272" s="54"/>
      <x:c r="J272" s="54"/>
      <x:c r="K272" t="n">
        <x:v>8</x:v>
      </x:c>
      <x:c r="L272" t="str">
        <x:v>P08-A10fat</x:v>
      </x:c>
      <x:c r="M272"/>
      <x:c r="N272" s="21" t="b">
        <x:v>0</x:v>
      </x:c>
      <x:c r="O272" s="21" t="b">
        <x:v>0</x:v>
      </x:c>
      <x:c r="P272" t="str">
        <x:v>P08-CA04</x:v>
      </x:c>
      <x:c r="Q272" t="str">
        <x:v>P08-WP042</x:v>
      </x:c>
      <x:c r="R272" t="str">
        <x:v>Task</x:v>
      </x:c>
      <x:c r="S272" t="str">
        <x:v>Project-type realism</x:v>
      </x:c>
      <x:c r="T272" t="str">
        <x:v>Source-derived / reconstructed network</x:v>
      </x:c>
      <x:c r="U272" s="54" t="n">
        <x:v>46254</x:v>
      </x:c>
      <x:c r="V272" s="54" t="n">
        <x:v>46265</x:v>
      </x:c>
      <x:c r="W272" s="54" t="n">
        <x:v>46274</x:v>
      </x:c>
      <x:c r="X272" s="54" t="n">
        <x:v>46283</x:v>
      </x:c>
      <x:c r="Y272" s="78" t="n">
        <x:v>14</x:v>
      </x:c>
    </x:row>
    <x:row r="273" ht="21" customHeight="1">
      <x:c r="A273" t="str">
        <x:v>P08-A9fat</x:v>
      </x:c>
      <x:c r="B273" t="str">
        <x:v>P08</x:v>
      </x:c>
      <x:c r="C273" t="str">
        <x:v>FAT — Generator</x:v>
      </x:c>
      <x:c r="D273" t="str">
        <x:v>1.08.4.1</x:v>
      </x:c>
      <x:c r="E273" s="54" t="n">
        <x:v>46265</x:v>
      </x:c>
      <x:c r="F273" s="54" t="n">
        <x:v>46276</x:v>
      </x:c>
      <x:c r="G273" s="54"/>
      <x:c r="H273" s="54"/>
      <x:c r="I273" s="54"/>
      <x:c r="J273" s="54"/>
      <x:c r="K273" t="n">
        <x:v>10</x:v>
      </x:c>
      <x:c r="L273" t="str">
        <x:v>P08-A9</x:v>
      </x:c>
      <x:c r="M273"/>
      <x:c r="N273" s="21" t="b">
        <x:v>0</x:v>
      </x:c>
      <x:c r="O273" s="21" t="b">
        <x:v>1</x:v>
      </x:c>
      <x:c r="P273" t="str">
        <x:v>P08-CA04</x:v>
      </x:c>
      <x:c r="Q273" t="str">
        <x:v>P08-WP041</x:v>
      </x:c>
      <x:c r="R273" t="str">
        <x:v>Task</x:v>
      </x:c>
      <x:c r="S273" t="str">
        <x:v>Synthetic project-specific planning assumption</x:v>
      </x:c>
      <x:c r="T273" t="str">
        <x:v>Source-derived / reconstructed network</x:v>
      </x:c>
      <x:c r="U273" s="54" t="n">
        <x:v>46265</x:v>
      </x:c>
      <x:c r="V273" s="54" t="n">
        <x:v>46276</x:v>
      </x:c>
      <x:c r="W273" s="54" t="n">
        <x:v>46265</x:v>
      </x:c>
      <x:c r="X273" s="54" t="n">
        <x:v>46276</x:v>
      </x:c>
      <x:c r="Y273" s="78" t="n">
        <x:v>0</x:v>
      </x:c>
    </x:row>
    <x:row r="274" ht="21" customHeight="1">
      <x:c r="A274" t="str">
        <x:v>P08-A16</x:v>
      </x:c>
      <x:c r="B274" t="str">
        <x:v>P08</x:v>
      </x:c>
      <x:c r="C274" t="str">
        <x:v>ATS-Switchgear Installation</x:v>
      </x:c>
      <x:c r="D274" t="str">
        <x:v>1.08.4.2</x:v>
      </x:c>
      <x:c r="E274" s="54" t="n">
        <x:v>46266</x:v>
      </x:c>
      <x:c r="F274" s="54" t="n">
        <x:v>46286</x:v>
      </x:c>
      <x:c r="G274" s="54"/>
      <x:c r="H274" s="54"/>
      <x:c r="I274" s="54"/>
      <x:c r="J274" s="54"/>
      <x:c r="K274" t="n">
        <x:v>15</x:v>
      </x:c>
      <x:c r="L274" t="str">
        <x:v>P08-A13, P08-A12, P08-A14</x:v>
      </x:c>
      <x:c r="M274"/>
      <x:c r="N274" s="21" t="b">
        <x:v>0</x:v>
      </x:c>
      <x:c r="O274" s="21" t="b">
        <x:v>0</x:v>
      </x:c>
      <x:c r="P274" t="str">
        <x:v>P08-CA04</x:v>
      </x:c>
      <x:c r="Q274" t="str">
        <x:v>P08-WP042</x:v>
      </x:c>
      <x:c r="R274" t="str">
        <x:v>Task</x:v>
      </x:c>
      <x:c r="S274" t="str">
        <x:v>Project-type realism</x:v>
      </x:c>
      <x:c r="T274" t="str">
        <x:v>Source-derived / reconstructed network</x:v>
      </x:c>
      <x:c r="U274" s="54" t="n">
        <x:v>46266</x:v>
      </x:c>
      <x:c r="V274" s="54" t="n">
        <x:v>46286</x:v>
      </x:c>
      <x:c r="W274" s="54" t="n">
        <x:v>46286</x:v>
      </x:c>
      <x:c r="X274" s="54" t="n">
        <x:v>46304</x:v>
      </x:c>
      <x:c r="Y274" s="78" t="n">
        <x:v>14</x:v>
      </x:c>
    </x:row>
    <x:row r="275" ht="21" customHeight="1">
      <x:c r="A275" t="str">
        <x:v>P08-A11</x:v>
      </x:c>
      <x:c r="B275" t="str">
        <x:v>P08</x:v>
      </x:c>
      <x:c r="C275" t="str">
        <x:v>Delivery &amp; Rigging — Generator</x:v>
      </x:c>
      <x:c r="D275" t="str">
        <x:v>1.08.4.1</x:v>
      </x:c>
      <x:c r="E275" s="54" t="n">
        <x:v>46279</x:v>
      </x:c>
      <x:c r="F275" s="54" t="n">
        <x:v>46290</x:v>
      </x:c>
      <x:c r="G275" s="54"/>
      <x:c r="H275" s="54"/>
      <x:c r="I275" s="54"/>
      <x:c r="J275" s="54"/>
      <x:c r="K275" t="n">
        <x:v>10</x:v>
      </x:c>
      <x:c r="L275" t="str">
        <x:v>P08-A9fat</x:v>
      </x:c>
      <x:c r="M275"/>
      <x:c r="N275" s="21" t="b">
        <x:v>0</x:v>
      </x:c>
      <x:c r="O275" s="21" t="b">
        <x:v>1</x:v>
      </x:c>
      <x:c r="P275" t="str">
        <x:v>P08-CA04</x:v>
      </x:c>
      <x:c r="Q275" t="str">
        <x:v>P08-WP041</x:v>
      </x:c>
      <x:c r="R275" t="str">
        <x:v>Task</x:v>
      </x:c>
      <x:c r="S275" t="str">
        <x:v>Project-type realism</x:v>
      </x:c>
      <x:c r="T275" t="str">
        <x:v>Source-derived / reconstructed network</x:v>
      </x:c>
      <x:c r="U275" s="54" t="n">
        <x:v>46279</x:v>
      </x:c>
      <x:c r="V275" s="54" t="n">
        <x:v>46290</x:v>
      </x:c>
      <x:c r="W275" s="54" t="n">
        <x:v>46279</x:v>
      </x:c>
      <x:c r="X275" s="54" t="n">
        <x:v>46290</x:v>
      </x:c>
      <x:c r="Y275" s="78" t="n">
        <x:v>0</x:v>
      </x:c>
    </x:row>
    <x:row r="276" ht="21" customHeight="1">
      <x:c r="A276" t="str">
        <x:v>P08-A15</x:v>
      </x:c>
      <x:c r="B276" t="str">
        <x:v>P08</x:v>
      </x:c>
      <x:c r="C276" t="str">
        <x:v>Generator Installation &amp; Rigging Set</x:v>
      </x:c>
      <x:c r="D276" t="str">
        <x:v>1.08.4.1</x:v>
      </x:c>
      <x:c r="E276" s="54" t="n">
        <x:v>46293</x:v>
      </x:c>
      <x:c r="F276" s="54" t="n">
        <x:v>46304</x:v>
      </x:c>
      <x:c r="G276" s="54"/>
      <x:c r="H276" s="54"/>
      <x:c r="I276" s="54"/>
      <x:c r="J276" s="54"/>
      <x:c r="K276" t="n">
        <x:v>10</x:v>
      </x:c>
      <x:c r="L276" t="str">
        <x:v>P08-A13, P08-A11, P08-A14</x:v>
      </x:c>
      <x:c r="M276"/>
      <x:c r="N276" s="21" t="b">
        <x:v>0</x:v>
      </x:c>
      <x:c r="O276" s="21" t="b">
        <x:v>1</x:v>
      </x:c>
      <x:c r="P276" t="str">
        <x:v>P08-CA04</x:v>
      </x:c>
      <x:c r="Q276" t="str">
        <x:v>P08-WP041</x:v>
      </x:c>
      <x:c r="R276" t="str">
        <x:v>Task</x:v>
      </x:c>
      <x:c r="S276" t="str">
        <x:v>Project-type realism</x:v>
      </x:c>
      <x:c r="T276" t="str">
        <x:v>Source-derived / reconstructed network</x:v>
      </x:c>
      <x:c r="U276" s="54" t="n">
        <x:v>46293</x:v>
      </x:c>
      <x:c r="V276" s="54" t="n">
        <x:v>46304</x:v>
      </x:c>
      <x:c r="W276" s="54" t="n">
        <x:v>46293</x:v>
      </x:c>
      <x:c r="X276" s="54" t="n">
        <x:v>46304</x:v>
      </x:c>
      <x:c r="Y276" s="78" t="n">
        <x:v>0</x:v>
      </x:c>
    </x:row>
    <x:row r="277" ht="21" customHeight="1">
      <x:c r="A277" t="str">
        <x:v>P08-A17</x:v>
      </x:c>
      <x:c r="B277" t="str">
        <x:v>P08</x:v>
      </x:c>
      <x:c r="C277" t="str">
        <x:v>Electrical/Controls Integration</x:v>
      </x:c>
      <x:c r="D277" t="str">
        <x:v>1.08.4.1</x:v>
      </x:c>
      <x:c r="E277" s="54" t="n">
        <x:v>46307</x:v>
      </x:c>
      <x:c r="F277" s="54" t="n">
        <x:v>46318</x:v>
      </x:c>
      <x:c r="G277" s="54"/>
      <x:c r="H277" s="54"/>
      <x:c r="I277" s="54"/>
      <x:c r="J277" s="54"/>
      <x:c r="K277" t="n">
        <x:v>10</x:v>
      </x:c>
      <x:c r="L277" t="str">
        <x:v>P08-A15, P08-A16</x:v>
      </x:c>
      <x:c r="M277"/>
      <x:c r="N277" s="21" t="b">
        <x:v>0</x:v>
      </x:c>
      <x:c r="O277" s="21" t="b">
        <x:v>1</x:v>
      </x:c>
      <x:c r="P277" t="str">
        <x:v>P08-CA04</x:v>
      </x:c>
      <x:c r="Q277" t="str">
        <x:v>P08-WP041</x:v>
      </x:c>
      <x:c r="R277" t="str">
        <x:v>Task</x:v>
      </x:c>
      <x:c r="S277" t="str">
        <x:v>Project-type realism</x:v>
      </x:c>
      <x:c r="T277" t="str">
        <x:v>Source-derived / reconstructed network</x:v>
      </x:c>
      <x:c r="U277" s="54" t="n">
        <x:v>46307</x:v>
      </x:c>
      <x:c r="V277" s="54" t="n">
        <x:v>46318</x:v>
      </x:c>
      <x:c r="W277" s="54" t="n">
        <x:v>46307</x:v>
      </x:c>
      <x:c r="X277" s="54" t="n">
        <x:v>46318</x:v>
      </x:c>
      <x:c r="Y277" s="78" t="n">
        <x:v>0</x:v>
      </x:c>
    </x:row>
    <x:row r="278" ht="21" customHeight="1">
      <x:c r="A278" t="str">
        <x:v>P08-A18</x:v>
      </x:c>
      <x:c r="B278" t="str">
        <x:v>P08</x:v>
      </x:c>
      <x:c r="C278" t="str">
        <x:v>Startup</x:v>
      </x:c>
      <x:c r="D278" t="str">
        <x:v>1.08.5.1</x:v>
      </x:c>
      <x:c r="E278" s="54" t="n">
        <x:v>46321</x:v>
      </x:c>
      <x:c r="F278" s="54" t="n">
        <x:v>46332</x:v>
      </x:c>
      <x:c r="G278" s="54"/>
      <x:c r="H278" s="54"/>
      <x:c r="I278" s="54"/>
      <x:c r="J278" s="54"/>
      <x:c r="K278" t="n">
        <x:v>10</x:v>
      </x:c>
      <x:c r="L278" t="str">
        <x:v>P08-A17</x:v>
      </x:c>
      <x:c r="M278"/>
      <x:c r="N278" s="21" t="b">
        <x:v>0</x:v>
      </x:c>
      <x:c r="O278" s="21" t="b">
        <x:v>1</x:v>
      </x:c>
      <x:c r="P278" t="str">
        <x:v>P08-CA05</x:v>
      </x:c>
      <x:c r="Q278" t="str">
        <x:v>P08-WP051</x:v>
      </x:c>
      <x:c r="R278" t="str">
        <x:v>Task</x:v>
      </x:c>
      <x:c r="S278" t="str">
        <x:v>Project-type realism</x:v>
      </x:c>
      <x:c r="T278" t="str">
        <x:v>Source-derived / reconstructed network</x:v>
      </x:c>
      <x:c r="U278" s="54" t="n">
        <x:v>46321</x:v>
      </x:c>
      <x:c r="V278" s="54" t="n">
        <x:v>46332</x:v>
      </x:c>
      <x:c r="W278" s="54" t="n">
        <x:v>46321</x:v>
      </x:c>
      <x:c r="X278" s="54" t="n">
        <x:v>46332</x:v>
      </x:c>
      <x:c r="Y278" s="78" t="n">
        <x:v>0</x:v>
      </x:c>
    </x:row>
    <x:row r="279" ht="21" customHeight="1">
      <x:c r="A279" t="str">
        <x:v>P08-I-P08-03</x:v>
      </x:c>
      <x:c r="B279" t="str">
        <x:v>P08</x:v>
      </x:c>
      <x:c r="C279" t="str">
        <x:v>Controls Available for Integration</x:v>
      </x:c>
      <x:c r="D279" t="str">
        <x:v>1.08.4.1</x:v>
      </x:c>
      <x:c r="E279" s="54" t="n">
        <x:v>46332</x:v>
      </x:c>
      <x:c r="F279" s="54" t="n">
        <x:v>46332</x:v>
      </x:c>
      <x:c r="G279" s="54"/>
      <x:c r="H279" s="54"/>
      <x:c r="I279" s="54"/>
      <x:c r="J279" s="54"/>
      <x:c r="K279" t="n">
        <x:v>0</x:v>
      </x:c>
      <x:c r="L279" t="str">
        <x:v>P08-MSTART</x:v>
      </x:c>
      <x:c r="M279"/>
      <x:c r="N279" s="21" t="b">
        <x:v>1</x:v>
      </x:c>
      <x:c r="O279" s="21" t="b">
        <x:v>0</x:v>
      </x:c>
      <x:c r="P279" t="str">
        <x:v>P08-CA04</x:v>
      </x:c>
      <x:c r="Q279" t="str">
        <x:v>P08-WP041</x:v>
      </x:c>
      <x:c r="R279" t="str">
        <x:v>Milestone</x:v>
      </x:c>
      <x:c r="S279" t="str">
        <x:v>Approved milestone / interface milestone</x:v>
      </x:c>
      <x:c r="T279" t="str">
        <x:v>Source-explicit milestone date</x:v>
      </x:c>
      <x:c r="U279" s="54" t="n">
        <x:v>46332</x:v>
      </x:c>
      <x:c r="V279" s="54" t="n">
        <x:v>46332</x:v>
      </x:c>
      <x:c r="W279" s="54" t="n">
        <x:v>46395</x:v>
      </x:c>
      <x:c r="X279" s="54" t="n">
        <x:v>46395</x:v>
      </x:c>
      <x:c r="Y279" s="78" t="n">
        <x:v>45</x:v>
      </x:c>
    </x:row>
    <x:row r="280" ht="21" customHeight="1">
      <x:c r="A280" t="str">
        <x:v>P08-MSTART</x:v>
      </x:c>
      <x:c r="B280" t="str">
        <x:v>P08</x:v>
      </x:c>
      <x:c r="C280" t="str">
        <x:v>MSTART</x:v>
      </x:c>
      <x:c r="D280" t="str">
        <x:v>1.08.4.1</x:v>
      </x:c>
      <x:c r="E280" s="54" t="n">
        <x:v>46332</x:v>
      </x:c>
      <x:c r="F280" s="54" t="n">
        <x:v>46332</x:v>
      </x:c>
      <x:c r="G280" s="54"/>
      <x:c r="H280" s="54"/>
      <x:c r="I280" s="54"/>
      <x:c r="J280" s="54"/>
      <x:c r="K280" t="n">
        <x:v>0</x:v>
      </x:c>
      <x:c r="L280" t="str">
        <x:v>P08-A18</x:v>
      </x:c>
      <x:c r="M280"/>
      <x:c r="N280" s="21" t="b">
        <x:v>1</x:v>
      </x:c>
      <x:c r="O280" s="21" t="b">
        <x:v>0</x:v>
      </x:c>
      <x:c r="P280" t="str">
        <x:v>P08-CA04</x:v>
      </x:c>
      <x:c r="Q280" t="str">
        <x:v>P08-WP041</x:v>
      </x:c>
      <x:c r="R280" t="str">
        <x:v>Milestone</x:v>
      </x:c>
      <x:c r="S280" t="str">
        <x:v>Approved milestone / interface milestone</x:v>
      </x:c>
      <x:c r="T280" t="str">
        <x:v>Source-explicit milestone date</x:v>
      </x:c>
      <x:c r="U280" s="54" t="n">
        <x:v>46332</x:v>
      </x:c>
      <x:c r="V280" s="54" t="n">
        <x:v>46332</x:v>
      </x:c>
      <x:c r="W280" s="54" t="n">
        <x:v>46395</x:v>
      </x:c>
      <x:c r="X280" s="54" t="n">
        <x:v>46395</x:v>
      </x:c>
      <x:c r="Y280" s="78" t="n">
        <x:v>45</x:v>
      </x:c>
    </x:row>
    <x:row r="281" ht="21" customHeight="1">
      <x:c r="A281" t="str">
        <x:v>P08-A19</x:v>
      </x:c>
      <x:c r="B281" t="str">
        <x:v>P08</x:v>
      </x:c>
      <x:c r="C281" t="str">
        <x:v>Load-Bank Testing</x:v>
      </x:c>
      <x:c r="D281" t="str">
        <x:v>1.08.5.1</x:v>
      </x:c>
      <x:c r="E281" s="54" t="n">
        <x:v>46335</x:v>
      </x:c>
      <x:c r="F281" s="54" t="n">
        <x:v>46346</x:v>
      </x:c>
      <x:c r="G281" s="54"/>
      <x:c r="H281" s="54"/>
      <x:c r="I281" s="54"/>
      <x:c r="J281" s="54"/>
      <x:c r="K281" t="n">
        <x:v>10</x:v>
      </x:c>
      <x:c r="L281" t="str">
        <x:v>P08-A18</x:v>
      </x:c>
      <x:c r="M281"/>
      <x:c r="N281" s="21" t="b">
        <x:v>0</x:v>
      </x:c>
      <x:c r="O281" s="21" t="b">
        <x:v>1</x:v>
      </x:c>
      <x:c r="P281" t="str">
        <x:v>P08-CA05</x:v>
      </x:c>
      <x:c r="Q281" t="str">
        <x:v>P08-WP051</x:v>
      </x:c>
      <x:c r="R281" t="str">
        <x:v>Task</x:v>
      </x:c>
      <x:c r="S281" t="str">
        <x:v>Project-type realism</x:v>
      </x:c>
      <x:c r="T281" t="str">
        <x:v>Source-derived / reconstructed network</x:v>
      </x:c>
      <x:c r="U281" s="54" t="n">
        <x:v>46335</x:v>
      </x:c>
      <x:c r="V281" s="54" t="n">
        <x:v>46346</x:v>
      </x:c>
      <x:c r="W281" s="54" t="n">
        <x:v>46335</x:v>
      </x:c>
      <x:c r="X281" s="54" t="n">
        <x:v>46346</x:v>
      </x:c>
      <x:c r="Y281" s="78" t="n">
        <x:v>0</x:v>
      </x:c>
    </x:row>
    <x:row r="282" ht="21" customHeight="1">
      <x:c r="A282" t="str">
        <x:v>P08-A20</x:v>
      </x:c>
      <x:c r="B282" t="str">
        <x:v>P08</x:v>
      </x:c>
      <x:c r="C282" t="str">
        <x:v>Emergency-Transfer (ATS) Testing</x:v>
      </x:c>
      <x:c r="D282" t="str">
        <x:v>1.08.5.1</x:v>
      </x:c>
      <x:c r="E282" s="54" t="n">
        <x:v>46349</x:v>
      </x:c>
      <x:c r="F282" s="54" t="n">
        <x:v>46353</x:v>
      </x:c>
      <x:c r="G282" s="54"/>
      <x:c r="H282" s="54"/>
      <x:c r="I282" s="54"/>
      <x:c r="J282" s="54"/>
      <x:c r="K282" t="n">
        <x:v>5</x:v>
      </x:c>
      <x:c r="L282" t="str">
        <x:v>P08-A19</x:v>
      </x:c>
      <x:c r="M282"/>
      <x:c r="N282" s="21" t="b">
        <x:v>0</x:v>
      </x:c>
      <x:c r="O282" s="21" t="b">
        <x:v>1</x:v>
      </x:c>
      <x:c r="P282" t="str">
        <x:v>P08-CA05</x:v>
      </x:c>
      <x:c r="Q282" t="str">
        <x:v>P08-WP051</x:v>
      </x:c>
      <x:c r="R282" t="str">
        <x:v>Task</x:v>
      </x:c>
      <x:c r="S282" t="str">
        <x:v>Project-type realism</x:v>
      </x:c>
      <x:c r="T282" t="str">
        <x:v>Source-derived / reconstructed network</x:v>
      </x:c>
      <x:c r="U282" s="54" t="n">
        <x:v>46349</x:v>
      </x:c>
      <x:c r="V282" s="54" t="n">
        <x:v>46353</x:v>
      </x:c>
      <x:c r="W282" s="54" t="n">
        <x:v>46349</x:v>
      </x:c>
      <x:c r="X282" s="54" t="n">
        <x:v>46353</x:v>
      </x:c>
      <x:c r="Y282" s="78" t="n">
        <x:v>0</x:v>
      </x:c>
    </x:row>
    <x:row r="283" ht="21" customHeight="1">
      <x:c r="A283" t="str">
        <x:v>P08-MOPACC</x:v>
      </x:c>
      <x:c r="B283" t="str">
        <x:v>P08</x:v>
      </x:c>
      <x:c r="C283" t="str">
        <x:v>MOPACC</x:v>
      </x:c>
      <x:c r="D283" t="str">
        <x:v>1.08.4.1</x:v>
      </x:c>
      <x:c r="E283" s="54" t="n">
        <x:v>46353</x:v>
      </x:c>
      <x:c r="F283" s="54" t="n">
        <x:v>46353</x:v>
      </x:c>
      <x:c r="G283" s="54"/>
      <x:c r="H283" s="54"/>
      <x:c r="I283" s="54"/>
      <x:c r="J283" s="54"/>
      <x:c r="K283" t="n">
        <x:v>0</x:v>
      </x:c>
      <x:c r="L283" t="str">
        <x:v>P08-A20</x:v>
      </x:c>
      <x:c r="M283"/>
      <x:c r="N283" s="21" t="b">
        <x:v>1</x:v>
      </x:c>
      <x:c r="O283" s="21" t="b">
        <x:v>0</x:v>
      </x:c>
      <x:c r="P283" t="str">
        <x:v>P08-CA04</x:v>
      </x:c>
      <x:c r="Q283" t="str">
        <x:v>P08-WP041</x:v>
      </x:c>
      <x:c r="R283" t="str">
        <x:v>Milestone</x:v>
      </x:c>
      <x:c r="S283" t="str">
        <x:v>Approved milestone / interface milestone</x:v>
      </x:c>
      <x:c r="T283" t="str">
        <x:v>Source-explicit milestone date</x:v>
      </x:c>
      <x:c r="U283" s="54" t="n">
        <x:v>46353</x:v>
      </x:c>
      <x:c r="V283" s="54" t="n">
        <x:v>46353</x:v>
      </x:c>
      <x:c r="W283" s="54" t="n">
        <x:v>46395</x:v>
      </x:c>
      <x:c r="X283" s="54" t="n">
        <x:v>46395</x:v>
      </x:c>
      <x:c r="Y283" s="78" t="n">
        <x:v>30</x:v>
      </x:c>
    </x:row>
    <x:row r="284" ht="21" customHeight="1">
      <x:c r="A284" t="str">
        <x:v>P08-A21</x:v>
      </x:c>
      <x:c r="B284" t="str">
        <x:v>P08</x:v>
      </x:c>
      <x:c r="C284" t="str">
        <x:v>Final Inspection &amp; Punch List</x:v>
      </x:c>
      <x:c r="D284" t="str">
        <x:v>1.08.4.1</x:v>
      </x:c>
      <x:c r="E284" s="54" t="n">
        <x:v>46356</x:v>
      </x:c>
      <x:c r="F284" s="54" t="n">
        <x:v>46367</x:v>
      </x:c>
      <x:c r="G284" s="54"/>
      <x:c r="H284" s="54"/>
      <x:c r="I284" s="54"/>
      <x:c r="J284" s="54"/>
      <x:c r="K284" t="n">
        <x:v>10</x:v>
      </x:c>
      <x:c r="L284" t="str">
        <x:v>P08-A20</x:v>
      </x:c>
      <x:c r="M284"/>
      <x:c r="N284" s="21" t="b">
        <x:v>0</x:v>
      </x:c>
      <x:c r="O284" s="21" t="b">
        <x:v>1</x:v>
      </x:c>
      <x:c r="P284" t="str">
        <x:v>P08-CA04</x:v>
      </x:c>
      <x:c r="Q284" t="str">
        <x:v>P08-WP041</x:v>
      </x:c>
      <x:c r="R284" t="str">
        <x:v>Task</x:v>
      </x:c>
      <x:c r="S284" t="str">
        <x:v>Project-type realism</x:v>
      </x:c>
      <x:c r="T284" t="str">
        <x:v>Source-derived / reconstructed network</x:v>
      </x:c>
      <x:c r="U284" s="54" t="n">
        <x:v>46356</x:v>
      </x:c>
      <x:c r="V284" s="54" t="n">
        <x:v>46367</x:v>
      </x:c>
      <x:c r="W284" s="54" t="n">
        <x:v>46356</x:v>
      </x:c>
      <x:c r="X284" s="54" t="n">
        <x:v>46367</x:v>
      </x:c>
      <x:c r="Y284" s="78" t="n">
        <x:v>0</x:v>
      </x:c>
    </x:row>
    <x:row r="285" ht="21" customHeight="1">
      <x:c r="A285" t="str">
        <x:v>P08-M3</x:v>
      </x:c>
      <x:c r="B285" t="str">
        <x:v>P08</x:v>
      </x:c>
      <x:c r="C285" t="str">
        <x:v>Substantial Completion</x:v>
      </x:c>
      <x:c r="D285" t="str">
        <x:v>1.08.4.1</x:v>
      </x:c>
      <x:c r="E285" s="54" t="n">
        <x:v>46367</x:v>
      </x:c>
      <x:c r="F285" s="54" t="n">
        <x:v>46367</x:v>
      </x:c>
      <x:c r="G285" s="54"/>
      <x:c r="H285" s="54"/>
      <x:c r="I285" s="54"/>
      <x:c r="J285" s="54"/>
      <x:c r="K285" t="n">
        <x:v>0</x:v>
      </x:c>
      <x:c r="L285" t="str">
        <x:v>P08-A21</x:v>
      </x:c>
      <x:c r="M285"/>
      <x:c r="N285" s="21" t="b">
        <x:v>1</x:v>
      </x:c>
      <x:c r="O285" s="21" t="b">
        <x:v>0</x:v>
      </x:c>
      <x:c r="P285" t="str">
        <x:v>P08-CA04</x:v>
      </x:c>
      <x:c r="Q285" t="str">
        <x:v>P08-WP041</x:v>
      </x:c>
      <x:c r="R285" t="str">
        <x:v>Milestone</x:v>
      </x:c>
      <x:c r="S285" t="str">
        <x:v>Approved milestone / interface milestone</x:v>
      </x:c>
      <x:c r="T285" t="str">
        <x:v>Source-explicit milestone date</x:v>
      </x:c>
      <x:c r="U285" s="54" t="n">
        <x:v>46367</x:v>
      </x:c>
      <x:c r="V285" s="54" t="n">
        <x:v>46367</x:v>
      </x:c>
      <x:c r="W285" s="54" t="n">
        <x:v>46395</x:v>
      </x:c>
      <x:c r="X285" s="54" t="n">
        <x:v>46395</x:v>
      </x:c>
      <x:c r="Y285" s="78" t="n">
        <x:v>20</x:v>
      </x:c>
    </x:row>
    <x:row r="286" ht="21" customHeight="1">
      <x:c r="A286" t="str">
        <x:v>P08-A22</x:v>
      </x:c>
      <x:c r="B286" t="str">
        <x:v>P08</x:v>
      </x:c>
      <x:c r="C286" t="str">
        <x:v>Documentation &amp; Turnover</x:v>
      </x:c>
      <x:c r="D286" t="str">
        <x:v>1.08.6.1</x:v>
      </x:c>
      <x:c r="E286" s="54" t="n">
        <x:v>46370</x:v>
      </x:c>
      <x:c r="F286" s="54" t="n">
        <x:v>46381</x:v>
      </x:c>
      <x:c r="G286" s="54"/>
      <x:c r="H286" s="54"/>
      <x:c r="I286" s="54"/>
      <x:c r="J286" s="54"/>
      <x:c r="K286" t="n">
        <x:v>10</x:v>
      </x:c>
      <x:c r="L286" t="str">
        <x:v>P08-A21</x:v>
      </x:c>
      <x:c r="M286"/>
      <x:c r="N286" s="21" t="b">
        <x:v>0</x:v>
      </x:c>
      <x:c r="O286" s="21" t="b">
        <x:v>1</x:v>
      </x:c>
      <x:c r="P286" t="str">
        <x:v>P08-CA06</x:v>
      </x:c>
      <x:c r="Q286" t="str">
        <x:v>P08-WP061</x:v>
      </x:c>
      <x:c r="R286" t="str">
        <x:v>Task</x:v>
      </x:c>
      <x:c r="S286" t="str">
        <x:v>Project-type realism</x:v>
      </x:c>
      <x:c r="T286" t="str">
        <x:v>Source-derived / reconstructed network</x:v>
      </x:c>
      <x:c r="U286" s="54" t="n">
        <x:v>46370</x:v>
      </x:c>
      <x:c r="V286" s="54" t="n">
        <x:v>46381</x:v>
      </x:c>
      <x:c r="W286" s="54" t="n">
        <x:v>46370</x:v>
      </x:c>
      <x:c r="X286" s="54" t="n">
        <x:v>46381</x:v>
      </x:c>
      <x:c r="Y286" s="78" t="n">
        <x:v>0</x:v>
      </x:c>
    </x:row>
    <x:row r="287" ht="21" customHeight="1">
      <x:c r="A287" t="str">
        <x:v>P08-A23</x:v>
      </x:c>
      <x:c r="B287" t="str">
        <x:v>P08</x:v>
      </x:c>
      <x:c r="C287" t="str">
        <x:v>Financial Closeout</x:v>
      </x:c>
      <x:c r="D287" t="str">
        <x:v>1.08.6.2</x:v>
      </x:c>
      <x:c r="E287" s="54" t="n">
        <x:v>46377</x:v>
      </x:c>
      <x:c r="F287" s="54" t="n">
        <x:v>46395</x:v>
      </x:c>
      <x:c r="G287" s="54"/>
      <x:c r="H287" s="54"/>
      <x:c r="I287" s="54"/>
      <x:c r="J287" s="54"/>
      <x:c r="K287" t="n">
        <x:v>15</x:v>
      </x:c>
      <x:c r="L287" t="str">
        <x:v>P08-A22, P08-A21</x:v>
      </x:c>
      <x:c r="M287"/>
      <x:c r="N287" s="21" t="b">
        <x:v>0</x:v>
      </x:c>
      <x:c r="O287" s="21" t="b">
        <x:v>1</x:v>
      </x:c>
      <x:c r="P287" t="str">
        <x:v>P08-CA06</x:v>
      </x:c>
      <x:c r="Q287" t="str">
        <x:v>P08-WP062</x:v>
      </x:c>
      <x:c r="R287" t="str">
        <x:v>Task</x:v>
      </x:c>
      <x:c r="S287" t="str">
        <x:v>Project-type realism</x:v>
      </x:c>
      <x:c r="T287" t="str">
        <x:v>Recovered from approved P08 M3/M4 dates + SS+5 closeout overlap</x:v>
      </x:c>
      <x:c r="U287" s="54" t="n">
        <x:v>46377</x:v>
      </x:c>
      <x:c r="V287" s="54" t="n">
        <x:v>46395</x:v>
      </x:c>
      <x:c r="W287" s="54" t="n">
        <x:v>46377</x:v>
      </x:c>
      <x:c r="X287" s="54" t="n">
        <x:v>46395</x:v>
      </x:c>
      <x:c r="Y287" s="78" t="n">
        <x:v>0</x:v>
      </x:c>
    </x:row>
    <x:row r="288" ht="21" customHeight="1">
      <x:c r="A288" t="str">
        <x:v>P08-M4</x:v>
      </x:c>
      <x:c r="B288" t="str">
        <x:v>P08</x:v>
      </x:c>
      <x:c r="C288" t="str">
        <x:v>Final Completion</x:v>
      </x:c>
      <x:c r="D288" t="str">
        <x:v>1.08.4.1</x:v>
      </x:c>
      <x:c r="E288" s="54" t="n">
        <x:v>46395</x:v>
      </x:c>
      <x:c r="F288" s="54" t="n">
        <x:v>46395</x:v>
      </x:c>
      <x:c r="G288" s="54"/>
      <x:c r="H288" s="54"/>
      <x:c r="I288" s="54"/>
      <x:c r="J288" s="54"/>
      <x:c r="K288" t="n">
        <x:v>0</x:v>
      </x:c>
      <x:c r="L288" t="str">
        <x:v>P08-A23</x:v>
      </x:c>
      <x:c r="M288"/>
      <x:c r="N288" s="21" t="b">
        <x:v>1</x:v>
      </x:c>
      <x:c r="O288" s="21" t="b">
        <x:v>1</x:v>
      </x:c>
      <x:c r="P288" t="str">
        <x:v>P08-CA04</x:v>
      </x:c>
      <x:c r="Q288" t="str">
        <x:v>P08-WP041</x:v>
      </x:c>
      <x:c r="R288" t="str">
        <x:v>Milestone</x:v>
      </x:c>
      <x:c r="S288" t="str">
        <x:v>Approved milestone / interface milestone</x:v>
      </x:c>
      <x:c r="T288" t="str">
        <x:v>Source-explicit milestone date</x:v>
      </x:c>
      <x:c r="U288" s="54" t="n">
        <x:v>46395</x:v>
      </x:c>
      <x:c r="V288" s="54" t="n">
        <x:v>46395</x:v>
      </x:c>
      <x:c r="W288" s="54" t="n">
        <x:v>46395</x:v>
      </x:c>
      <x:c r="X288" s="54" t="n">
        <x:v>46395</x:v>
      </x:c>
      <x:c r="Y288" s="78" t="n">
        <x:v>0</x:v>
      </x:c>
    </x:row>
    <x:row r="289" ht="21" customHeight="1">
      <x:c r="A289" t="str">
        <x:v>P09-A1</x:v>
      </x:c>
      <x:c r="B289" t="str">
        <x:v>P09</x:v>
      </x:c>
      <x:c r="C289" t="str">
        <x:v>Route &amp; Condition Assessment</x:v>
      </x:c>
      <x:c r="D289" t="str">
        <x:v>1.09.1.1</x:v>
      </x:c>
      <x:c r="E289" s="54" t="n">
        <x:v>46055</x:v>
      </x:c>
      <x:c r="F289" s="54" t="n">
        <x:v>46073</x:v>
      </x:c>
      <x:c r="G289" s="54"/>
      <x:c r="H289" s="54"/>
      <x:c r="I289" s="54"/>
      <x:c r="J289" s="54"/>
      <x:c r="K289" t="n">
        <x:v>15</x:v>
      </x:c>
      <x:c r="L289" t="str"/>
      <x:c r="M289"/>
      <x:c r="N289" s="21" t="b">
        <x:v>0</x:v>
      </x:c>
      <x:c r="O289" s="21" t="b">
        <x:v>1</x:v>
      </x:c>
      <x:c r="P289" t="str">
        <x:v>P09-CA01</x:v>
      </x:c>
      <x:c r="Q289" t="str">
        <x:v>P09-WP011</x:v>
      </x:c>
      <x:c r="R289" t="str">
        <x:v>Task</x:v>
      </x:c>
      <x:c r="S289" t="str">
        <x:v>Project-type realism</x:v>
      </x:c>
      <x:c r="T289" t="str">
        <x:v>Source-derived / reconstructed network</x:v>
      </x:c>
      <x:c r="U289" s="54" t="n">
        <x:v>46055</x:v>
      </x:c>
      <x:c r="V289" s="54" t="n">
        <x:v>46073</x:v>
      </x:c>
      <x:c r="W289" s="54" t="n">
        <x:v>46055</x:v>
      </x:c>
      <x:c r="X289" s="54" t="n">
        <x:v>46073</x:v>
      </x:c>
      <x:c r="Y289" s="78" t="n">
        <x:v>0</x:v>
      </x:c>
    </x:row>
    <x:row r="290" ht="21" customHeight="1">
      <x:c r="A290" t="str">
        <x:v>P09-A2</x:v>
      </x:c>
      <x:c r="B290" t="str">
        <x:v>P09</x:v>
      </x:c>
      <x:c r="C290" t="str">
        <x:v>Project Definition &amp; Construction Method Selection (HDD)</x:v>
      </x:c>
      <x:c r="D290" t="str">
        <x:v>1.09.1.2</x:v>
      </x:c>
      <x:c r="E290" s="54" t="n">
        <x:v>46076</x:v>
      </x:c>
      <x:c r="F290" s="54" t="n">
        <x:v>46087</x:v>
      </x:c>
      <x:c r="G290" s="54"/>
      <x:c r="H290" s="54"/>
      <x:c r="I290" s="54"/>
      <x:c r="J290" s="54"/>
      <x:c r="K290" t="n">
        <x:v>10</x:v>
      </x:c>
      <x:c r="L290" t="str">
        <x:v>P09-A1</x:v>
      </x:c>
      <x:c r="M290"/>
      <x:c r="N290" s="21" t="b">
        <x:v>0</x:v>
      </x:c>
      <x:c r="O290" s="21" t="b">
        <x:v>1</x:v>
      </x:c>
      <x:c r="P290" t="str">
        <x:v>P09-CA01</x:v>
      </x:c>
      <x:c r="Q290" t="str">
        <x:v>P09-WP012</x:v>
      </x:c>
      <x:c r="R290" t="str">
        <x:v>Task</x:v>
      </x:c>
      <x:c r="S290" t="str">
        <x:v>Synthetic project assumption</x:v>
      </x:c>
      <x:c r="T290" t="str">
        <x:v>Source-derived / reconstructed network</x:v>
      </x:c>
      <x:c r="U290" s="54" t="n">
        <x:v>46076</x:v>
      </x:c>
      <x:c r="V290" s="54" t="n">
        <x:v>46087</x:v>
      </x:c>
      <x:c r="W290" s="54" t="n">
        <x:v>46076</x:v>
      </x:c>
      <x:c r="X290" s="54" t="n">
        <x:v>46087</x:v>
      </x:c>
      <x:c r="Y290" s="78" t="n">
        <x:v>0</x:v>
      </x:c>
    </x:row>
    <x:row r="291" ht="21" customHeight="1">
      <x:c r="A291" t="str">
        <x:v>P09-A3a</x:v>
      </x:c>
      <x:c r="B291" t="str">
        <x:v>P09</x:v>
      </x:c>
      <x:c r="C291" t="str">
        <x:v>Survey / Geotechnical &amp; Subsurface Investigation</x:v>
      </x:c>
      <x:c r="D291" t="str">
        <x:v>1.09.2.1</x:v>
      </x:c>
      <x:c r="E291" s="54" t="n">
        <x:v>46090</x:v>
      </x:c>
      <x:c r="F291" s="54" t="n">
        <x:v>46115</x:v>
      </x:c>
      <x:c r="G291" s="54"/>
      <x:c r="H291" s="54"/>
      <x:c r="I291" s="54"/>
      <x:c r="J291" s="54"/>
      <x:c r="K291" t="n">
        <x:v>20</x:v>
      </x:c>
      <x:c r="L291" t="str">
        <x:v>P09-A2</x:v>
      </x:c>
      <x:c r="M291"/>
      <x:c r="N291" s="21" t="b">
        <x:v>0</x:v>
      </x:c>
      <x:c r="O291" s="21" t="b">
        <x:v>1</x:v>
      </x:c>
      <x:c r="P291" t="str">
        <x:v>P09-CA02</x:v>
      </x:c>
      <x:c r="Q291" t="str">
        <x:v>P09-WP021</x:v>
      </x:c>
      <x:c r="R291" t="str">
        <x:v>Task</x:v>
      </x:c>
      <x:c r="S291" t="str">
        <x:v>Project-type realism</x:v>
      </x:c>
      <x:c r="T291" t="str">
        <x:v>Source-derived / reconstructed network</x:v>
      </x:c>
      <x:c r="U291" s="54" t="n">
        <x:v>46090</x:v>
      </x:c>
      <x:c r="V291" s="54" t="n">
        <x:v>46115</x:v>
      </x:c>
      <x:c r="W291" s="54" t="n">
        <x:v>46090</x:v>
      </x:c>
      <x:c r="X291" s="54" t="n">
        <x:v>46115</x:v>
      </x:c>
      <x:c r="Y291" s="78" t="n">
        <x:v>0</x:v>
      </x:c>
    </x:row>
    <x:row r="292" ht="21" customHeight="1">
      <x:c r="A292" t="str">
        <x:v>P09-A3</x:v>
      </x:c>
      <x:c r="B292" t="str">
        <x:v>P09</x:v>
      </x:c>
      <x:c r="C292" t="str">
        <x:v>Preliminary Design</x:v>
      </x:c>
      <x:c r="D292" t="str">
        <x:v>1.09.2.1</x:v>
      </x:c>
      <x:c r="E292" s="54" t="n">
        <x:v>46118</x:v>
      </x:c>
      <x:c r="F292" s="54" t="n">
        <x:v>46143</x:v>
      </x:c>
      <x:c r="G292" s="54"/>
      <x:c r="H292" s="54"/>
      <x:c r="I292" s="54"/>
      <x:c r="J292" s="54"/>
      <x:c r="K292" t="n">
        <x:v>20</x:v>
      </x:c>
      <x:c r="L292" t="str">
        <x:v>P09-A3a</x:v>
      </x:c>
      <x:c r="M292"/>
      <x:c r="N292" s="21" t="b">
        <x:v>0</x:v>
      </x:c>
      <x:c r="O292" s="21" t="b">
        <x:v>1</x:v>
      </x:c>
      <x:c r="P292" t="str">
        <x:v>P09-CA02</x:v>
      </x:c>
      <x:c r="Q292" t="str">
        <x:v>P09-WP021</x:v>
      </x:c>
      <x:c r="R292" t="str">
        <x:v>Task</x:v>
      </x:c>
      <x:c r="S292" t="str">
        <x:v>Project-type realism</x:v>
      </x:c>
      <x:c r="T292" t="str">
        <x:v>Source-derived / reconstructed network</x:v>
      </x:c>
      <x:c r="U292" s="54" t="n">
        <x:v>46118</x:v>
      </x:c>
      <x:c r="V292" s="54" t="n">
        <x:v>46143</x:v>
      </x:c>
      <x:c r="W292" s="54" t="n">
        <x:v>46118</x:v>
      </x:c>
      <x:c r="X292" s="54" t="n">
        <x:v>46143</x:v>
      </x:c>
      <x:c r="Y292" s="78" t="n">
        <x:v>0</x:v>
      </x:c>
    </x:row>
    <x:row r="293" ht="21" customHeight="1">
      <x:c r="A293" t="str">
        <x:v>P09-A4</x:v>
      </x:c>
      <x:c r="B293" t="str">
        <x:v>P09</x:v>
      </x:c>
      <x:c r="C293" t="str">
        <x:v>Final Design</x:v>
      </x:c>
      <x:c r="D293" t="str">
        <x:v>1.09.2.2</x:v>
      </x:c>
      <x:c r="E293" s="54" t="n">
        <x:v>46153</x:v>
      </x:c>
      <x:c r="F293" s="54" t="n">
        <x:v>46178</x:v>
      </x:c>
      <x:c r="G293" s="54"/>
      <x:c r="H293" s="54"/>
      <x:c r="I293" s="54"/>
      <x:c r="J293" s="54"/>
      <x:c r="K293" t="n">
        <x:v>20</x:v>
      </x:c>
      <x:c r="L293" t="str">
        <x:v>P09-A3</x:v>
      </x:c>
      <x:c r="M293"/>
      <x:c r="N293" s="21" t="b">
        <x:v>0</x:v>
      </x:c>
      <x:c r="O293" s="21" t="b">
        <x:v>1</x:v>
      </x:c>
      <x:c r="P293" t="str">
        <x:v>P09-CA02</x:v>
      </x:c>
      <x:c r="Q293" t="str">
        <x:v>P09-WP022</x:v>
      </x:c>
      <x:c r="R293" t="str">
        <x:v>Task</x:v>
      </x:c>
      <x:c r="S293" t="str">
        <x:v>Project-type realism; +5bd review lag in logic</x:v>
      </x:c>
      <x:c r="T293" t="str">
        <x:v>Source-derived / reconstructed network</x:v>
      </x:c>
      <x:c r="U293" s="54" t="n">
        <x:v>46153</x:v>
      </x:c>
      <x:c r="V293" s="54" t="n">
        <x:v>46178</x:v>
      </x:c>
      <x:c r="W293" s="54" t="n">
        <x:v>46153</x:v>
      </x:c>
      <x:c r="X293" s="54" t="n">
        <x:v>46178</x:v>
      </x:c>
      <x:c r="Y293" s="78" t="n">
        <x:v>0</x:v>
      </x:c>
    </x:row>
    <x:row r="294" ht="21" customHeight="1">
      <x:c r="A294" t="str">
        <x:v>P09-A5</x:v>
      </x:c>
      <x:c r="B294" t="str">
        <x:v>P09</x:v>
      </x:c>
      <x:c r="C294" t="str">
        <x:v>Bid Advertisement</x:v>
      </x:c>
      <x:c r="D294" t="str">
        <x:v>1.09.3.1</x:v>
      </x:c>
      <x:c r="E294" s="54" t="n">
        <x:v>46167</x:v>
      </x:c>
      <x:c r="F294" s="54" t="n">
        <x:v>46185</x:v>
      </x:c>
      <x:c r="G294" s="54"/>
      <x:c r="H294" s="54"/>
      <x:c r="I294" s="54"/>
      <x:c r="J294" s="54"/>
      <x:c r="K294" t="n">
        <x:v>15</x:v>
      </x:c>
      <x:c r="L294" t="str">
        <x:v>P09-A4</x:v>
      </x:c>
      <x:c r="M294"/>
      <x:c r="N294" s="21" t="b">
        <x:v>0</x:v>
      </x:c>
      <x:c r="O294" s="21" t="b">
        <x:v>0</x:v>
      </x:c>
      <x:c r="P294" t="str">
        <x:v>P09-CA03</x:v>
      </x:c>
      <x:c r="Q294" t="str">
        <x:v>P09-WP031</x:v>
      </x:c>
      <x:c r="R294" t="str">
        <x:v>Task</x:v>
      </x:c>
      <x:c r="S294" t="str">
        <x:v>Project-type realism</x:v>
      </x:c>
      <x:c r="T294" t="str">
        <x:v>Source-derived / reconstructed network</x:v>
      </x:c>
      <x:c r="U294" s="54" t="n">
        <x:v>46167</x:v>
      </x:c>
      <x:c r="V294" s="54" t="n">
        <x:v>46185</x:v>
      </x:c>
      <x:c r="W294" s="54" t="n">
        <x:v>46181</x:v>
      </x:c>
      <x:c r="X294" s="54" t="n">
        <x:v>46199</x:v>
      </x:c>
      <x:c r="Y294" s="78" t="n">
        <x:v>10</x:v>
      </x:c>
    </x:row>
    <x:row r="295" ht="21" customHeight="1">
      <x:c r="A295" t="str">
        <x:v>P09-M1</x:v>
      </x:c>
      <x:c r="B295" t="str">
        <x:v>P09</x:v>
      </x:c>
      <x:c r="C295" t="str">
        <x:v>Design Complete</x:v>
      </x:c>
      <x:c r="D295" t="str">
        <x:v>1.09.4.1</x:v>
      </x:c>
      <x:c r="E295" s="54" t="n">
        <x:v>46178</x:v>
      </x:c>
      <x:c r="F295" s="54" t="n">
        <x:v>46178</x:v>
      </x:c>
      <x:c r="G295" s="54"/>
      <x:c r="H295" s="54"/>
      <x:c r="I295" s="54"/>
      <x:c r="J295" s="54"/>
      <x:c r="K295" t="n">
        <x:v>0</x:v>
      </x:c>
      <x:c r="L295" t="str">
        <x:v>P09-A4</x:v>
      </x:c>
      <x:c r="M295"/>
      <x:c r="N295" s="21" t="b">
        <x:v>1</x:v>
      </x:c>
      <x:c r="O295" s="21" t="b">
        <x:v>0</x:v>
      </x:c>
      <x:c r="P295" t="str">
        <x:v>P09-CA04</x:v>
      </x:c>
      <x:c r="Q295" t="str">
        <x:v>P09-WP041</x:v>
      </x:c>
      <x:c r="R295" t="str">
        <x:v>Milestone</x:v>
      </x:c>
      <x:c r="S295" t="str">
        <x:v>Approved milestone / interface milestone</x:v>
      </x:c>
      <x:c r="T295" t="str">
        <x:v>Source-explicit milestone date</x:v>
      </x:c>
      <x:c r="U295" s="54" t="n">
        <x:v>46178</x:v>
      </x:c>
      <x:c r="V295" s="54" t="n">
        <x:v>46178</x:v>
      </x:c>
      <x:c r="W295" s="54" t="n">
        <x:v>46449</x:v>
      </x:c>
      <x:c r="X295" s="54" t="n">
        <x:v>46449</x:v>
      </x:c>
      <x:c r="Y295" s="78" t="n">
        <x:v>193</x:v>
      </x:c>
    </x:row>
    <x:row r="296" ht="21" customHeight="1">
      <x:c r="A296" t="str">
        <x:v>P09-A4b</x:v>
      </x:c>
      <x:c r="B296" t="str">
        <x:v>P09</x:v>
      </x:c>
      <x:c r="C296" t="str">
        <x:v>Environmental/Regulatory Review</x:v>
      </x:c>
      <x:c r="D296" t="str">
        <x:v>1.09.2.2</x:v>
      </x:c>
      <x:c r="E296" s="54" t="n">
        <x:v>46181</x:v>
      </x:c>
      <x:c r="F296" s="54" t="n">
        <x:v>46220</x:v>
      </x:c>
      <x:c r="G296" s="54"/>
      <x:c r="H296" s="54"/>
      <x:c r="I296" s="54"/>
      <x:c r="J296" s="54"/>
      <x:c r="K296" t="n">
        <x:v>30</x:v>
      </x:c>
      <x:c r="L296" t="str">
        <x:v>P09-A4</x:v>
      </x:c>
      <x:c r="M296"/>
      <x:c r="N296" s="21" t="b">
        <x:v>0</x:v>
      </x:c>
      <x:c r="O296" s="21" t="b">
        <x:v>0</x:v>
      </x:c>
      <x:c r="P296" t="str">
        <x:v>P09-CA02</x:v>
      </x:c>
      <x:c r="Q296" t="str">
        <x:v>P09-WP022</x:v>
      </x:c>
      <x:c r="R296" t="str">
        <x:v>Task</x:v>
      </x:c>
      <x:c r="S296" t="str">
        <x:v>Project-type realism</x:v>
      </x:c>
      <x:c r="T296" t="str">
        <x:v>Source-derived / reconstructed network</x:v>
      </x:c>
      <x:c r="U296" s="54" t="n">
        <x:v>46181</x:v>
      </x:c>
      <x:c r="V296" s="54" t="n">
        <x:v>46220</x:v>
      </x:c>
      <x:c r="W296" s="54" t="n">
        <x:v>46195</x:v>
      </x:c>
      <x:c r="X296" s="54" t="n">
        <x:v>46234</x:v>
      </x:c>
      <x:c r="Y296" s="78" t="n">
        <x:v>10</x:v>
      </x:c>
    </x:row>
    <x:row r="297" ht="21" customHeight="1">
      <x:c r="A297" t="str">
        <x:v>P09-A4c</x:v>
      </x:c>
      <x:c r="B297" t="str">
        <x:v>P09</x:v>
      </x:c>
      <x:c r="C297" t="str">
        <x:v>Waterway / Environmental Crossing Permit</x:v>
      </x:c>
      <x:c r="D297" t="str">
        <x:v>1.09.2.2</x:v>
      </x:c>
      <x:c r="E297" s="54" t="n">
        <x:v>46181</x:v>
      </x:c>
      <x:c r="F297" s="54" t="n">
        <x:v>46234</x:v>
      </x:c>
      <x:c r="G297" s="54"/>
      <x:c r="H297" s="54"/>
      <x:c r="I297" s="54"/>
      <x:c r="J297" s="54"/>
      <x:c r="K297" t="n">
        <x:v>40</x:v>
      </x:c>
      <x:c r="L297" t="str">
        <x:v>P09-A4</x:v>
      </x:c>
      <x:c r="M297"/>
      <x:c r="N297" s="21" t="b">
        <x:v>0</x:v>
      </x:c>
      <x:c r="O297" s="21" t="b">
        <x:v>1</x:v>
      </x:c>
      <x:c r="P297" t="str">
        <x:v>P09-CA02</x:v>
      </x:c>
      <x:c r="Q297" t="str">
        <x:v>P09-WP022</x:v>
      </x:c>
      <x:c r="R297" t="str">
        <x:v>Task</x:v>
      </x:c>
      <x:c r="S297" t="str">
        <x:v>Synthetic, industry-informed planning assumption</x:v>
      </x:c>
      <x:c r="T297" t="str">
        <x:v>Source-derived / reconstructed network</x:v>
      </x:c>
      <x:c r="U297" s="54" t="n">
        <x:v>46181</x:v>
      </x:c>
      <x:c r="V297" s="54" t="n">
        <x:v>46234</x:v>
      </x:c>
      <x:c r="W297" s="54" t="n">
        <x:v>46181</x:v>
      </x:c>
      <x:c r="X297" s="54" t="n">
        <x:v>46234</x:v>
      </x:c>
      <x:c r="Y297" s="78" t="n">
        <x:v>0</x:v>
      </x:c>
    </x:row>
    <x:row r="298" ht="21" customHeight="1">
      <x:c r="A298" t="str">
        <x:v>P09-A5b</x:v>
      </x:c>
      <x:c r="B298" t="str">
        <x:v>P09</x:v>
      </x:c>
      <x:c r="C298" t="str">
        <x:v>Evaluation &amp; Selection — specialty contractor pool</x:v>
      </x:c>
      <x:c r="D298" t="str">
        <x:v>1.09.3.1</x:v>
      </x:c>
      <x:c r="E298" s="54" t="n">
        <x:v>46188</x:v>
      </x:c>
      <x:c r="F298" s="54" t="n">
        <x:v>46206</x:v>
      </x:c>
      <x:c r="G298" s="54"/>
      <x:c r="H298" s="54"/>
      <x:c r="I298" s="54"/>
      <x:c r="J298" s="54"/>
      <x:c r="K298" t="n">
        <x:v>15</x:v>
      </x:c>
      <x:c r="L298" t="str">
        <x:v>P09-A5</x:v>
      </x:c>
      <x:c r="M298"/>
      <x:c r="N298" s="21" t="b">
        <x:v>0</x:v>
      </x:c>
      <x:c r="O298" s="21" t="b">
        <x:v>0</x:v>
      </x:c>
      <x:c r="P298" t="str">
        <x:v>P09-CA03</x:v>
      </x:c>
      <x:c r="Q298" t="str">
        <x:v>P09-WP031</x:v>
      </x:c>
      <x:c r="R298" t="str">
        <x:v>Task</x:v>
      </x:c>
      <x:c r="S298" t="str">
        <x:v>Project-type realism</x:v>
      </x:c>
      <x:c r="T298" t="str">
        <x:v>Source-derived / reconstructed network</x:v>
      </x:c>
      <x:c r="U298" s="54" t="n">
        <x:v>46188</x:v>
      </x:c>
      <x:c r="V298" s="54" t="n">
        <x:v>46206</x:v>
      </x:c>
      <x:c r="W298" s="54" t="n">
        <x:v>46202</x:v>
      </x:c>
      <x:c r="X298" s="54" t="n">
        <x:v>46220</x:v>
      </x:c>
      <x:c r="Y298" s="78" t="n">
        <x:v>10</x:v>
      </x:c>
    </x:row>
    <x:row r="299" ht="21" customHeight="1">
      <x:c r="A299" t="str">
        <x:v>P09-A5c</x:v>
      </x:c>
      <x:c r="B299" t="str">
        <x:v>P09</x:v>
      </x:c>
      <x:c r="C299" t="str">
        <x:v>Governing Body Approval</x:v>
      </x:c>
      <x:c r="D299" t="str">
        <x:v>1.09.3.2</x:v>
      </x:c>
      <x:c r="E299" s="54" t="n">
        <x:v>46209</x:v>
      </x:c>
      <x:c r="F299" s="54" t="n">
        <x:v>46220</x:v>
      </x:c>
      <x:c r="G299" s="54"/>
      <x:c r="H299" s="54"/>
      <x:c r="I299" s="54"/>
      <x:c r="J299" s="54"/>
      <x:c r="K299" t="n">
        <x:v>10</x:v>
      </x:c>
      <x:c r="L299" t="str">
        <x:v>P09-A5b</x:v>
      </x:c>
      <x:c r="M299"/>
      <x:c r="N299" s="21" t="b">
        <x:v>0</x:v>
      </x:c>
      <x:c r="O299" s="21" t="b">
        <x:v>0</x:v>
      </x:c>
      <x:c r="P299" t="str">
        <x:v>P09-CA03</x:v>
      </x:c>
      <x:c r="Q299" t="str">
        <x:v>P09-WP032</x:v>
      </x:c>
      <x:c r="R299" t="str">
        <x:v>Task</x:v>
      </x:c>
      <x:c r="S299" t="str">
        <x:v>Project-type realism</x:v>
      </x:c>
      <x:c r="T299" t="str">
        <x:v>Source-derived / reconstructed network</x:v>
      </x:c>
      <x:c r="U299" s="54" t="n">
        <x:v>46209</x:v>
      </x:c>
      <x:c r="V299" s="54" t="n">
        <x:v>46220</x:v>
      </x:c>
      <x:c r="W299" s="54" t="n">
        <x:v>46223</x:v>
      </x:c>
      <x:c r="X299" s="54" t="n">
        <x:v>46234</x:v>
      </x:c>
      <x:c r="Y299" s="78" t="n">
        <x:v>10</x:v>
      </x:c>
    </x:row>
    <x:row r="300" ht="21" customHeight="1">
      <x:c r="A300" t="str">
        <x:v>P09-M2</x:v>
      </x:c>
      <x:c r="B300" t="str">
        <x:v>P09</x:v>
      </x:c>
      <x:c r="C300" t="str">
        <x:v>Contract Award / NTP</x:v>
      </x:c>
      <x:c r="D300" t="str">
        <x:v>1.09.4.1</x:v>
      </x:c>
      <x:c r="E300" s="54" t="n">
        <x:v>46234</x:v>
      </x:c>
      <x:c r="F300" s="54" t="n">
        <x:v>46234</x:v>
      </x:c>
      <x:c r="G300" s="54"/>
      <x:c r="H300" s="54"/>
      <x:c r="I300" s="54"/>
      <x:c r="J300" s="54"/>
      <x:c r="K300" t="n">
        <x:v>0</x:v>
      </x:c>
      <x:c r="L300" t="str">
        <x:v>P09-A5c, P09-A4b, P09-A4c</x:v>
      </x:c>
      <x:c r="M300"/>
      <x:c r="N300" s="21" t="b">
        <x:v>1</x:v>
      </x:c>
      <x:c r="O300" s="21" t="b">
        <x:v>1</x:v>
      </x:c>
      <x:c r="P300" t="str">
        <x:v>P09-CA04</x:v>
      </x:c>
      <x:c r="Q300" t="str">
        <x:v>P09-WP041</x:v>
      </x:c>
      <x:c r="R300" t="str">
        <x:v>Milestone</x:v>
      </x:c>
      <x:c r="S300" t="str">
        <x:v>Approved milestone / interface milestone</x:v>
      </x:c>
      <x:c r="T300" t="str">
        <x:v>Source-explicit milestone date</x:v>
      </x:c>
      <x:c r="U300" s="54" t="n">
        <x:v>46234</x:v>
      </x:c>
      <x:c r="V300" s="54" t="n">
        <x:v>46234</x:v>
      </x:c>
      <x:c r="W300" s="54" t="n">
        <x:v>46234</x:v>
      </x:c>
      <x:c r="X300" s="54" t="n">
        <x:v>46234</x:v>
      </x:c>
      <x:c r="Y300" s="78" t="n">
        <x:v>0</x:v>
      </x:c>
    </x:row>
    <x:row r="301" ht="21" customHeight="1">
      <x:c r="A301" t="str">
        <x:v>P09-MPERMIT</x:v>
      </x:c>
      <x:c r="B301" t="str">
        <x:v>P09</x:v>
      </x:c>
      <x:c r="C301" t="str">
        <x:v>MPERMIT</x:v>
      </x:c>
      <x:c r="D301" t="str">
        <x:v>1.09.2.2</x:v>
      </x:c>
      <x:c r="E301" s="54" t="n">
        <x:v>46234</x:v>
      </x:c>
      <x:c r="F301" s="54" t="n">
        <x:v>46234</x:v>
      </x:c>
      <x:c r="G301" s="54"/>
      <x:c r="H301" s="54"/>
      <x:c r="I301" s="54"/>
      <x:c r="J301" s="54"/>
      <x:c r="K301" t="n">
        <x:v>0</x:v>
      </x:c>
      <x:c r="L301" t="str">
        <x:v>P09-A4c</x:v>
      </x:c>
      <x:c r="M301"/>
      <x:c r="N301" s="21" t="b">
        <x:v>1</x:v>
      </x:c>
      <x:c r="O301" s="21" t="b">
        <x:v>0</x:v>
      </x:c>
      <x:c r="P301" t="str">
        <x:v>P09-CA02</x:v>
      </x:c>
      <x:c r="Q301" t="str">
        <x:v>P09-WP022</x:v>
      </x:c>
      <x:c r="R301" t="str">
        <x:v>Milestone</x:v>
      </x:c>
      <x:c r="S301" t="str">
        <x:v>Approved milestone / interface milestone</x:v>
      </x:c>
      <x:c r="T301" t="str">
        <x:v>Source-explicit milestone date</x:v>
      </x:c>
      <x:c r="U301" s="54" t="n">
        <x:v>46234</x:v>
      </x:c>
      <x:c r="V301" s="54" t="n">
        <x:v>46234</x:v>
      </x:c>
      <x:c r="W301" s="54" t="n">
        <x:v>46449</x:v>
      </x:c>
      <x:c r="X301" s="54" t="n">
        <x:v>46449</x:v>
      </x:c>
      <x:c r="Y301" s="78" t="n">
        <x:v>153</x:v>
      </x:c>
    </x:row>
    <x:row r="302" ht="21" customHeight="1">
      <x:c r="A302" t="str">
        <x:v>P09-A10</x:v>
      </x:c>
      <x:c r="B302" t="str">
        <x:v>P09</x:v>
      </x:c>
      <x:c r="C302" t="str">
        <x:v>HDPE Pipe Submittal Review</x:v>
      </x:c>
      <x:c r="D302" t="str">
        <x:v>1.09.3.1</x:v>
      </x:c>
      <x:c r="E302" s="54" t="n">
        <x:v>46237</x:v>
      </x:c>
      <x:c r="F302" s="54" t="n">
        <x:v>46255</x:v>
      </x:c>
      <x:c r="G302" s="54"/>
      <x:c r="H302" s="54"/>
      <x:c r="I302" s="54"/>
      <x:c r="J302" s="54"/>
      <x:c r="K302" t="n">
        <x:v>15</x:v>
      </x:c>
      <x:c r="L302" t="str">
        <x:v>P09-M2</x:v>
      </x:c>
      <x:c r="M302"/>
      <x:c r="N302" s="21" t="b">
        <x:v>0</x:v>
      </x:c>
      <x:c r="O302" s="21" t="b">
        <x:v>1</x:v>
      </x:c>
      <x:c r="P302" t="str">
        <x:v>P09-CA03</x:v>
      </x:c>
      <x:c r="Q302" t="str">
        <x:v>P09-WP031</x:v>
      </x:c>
      <x:c r="R302" t="str">
        <x:v>Task</x:v>
      </x:c>
      <x:c r="S302" t="str">
        <x:v>Synthetic, industry-informed planning assumption</x:v>
      </x:c>
      <x:c r="T302" t="str">
        <x:v>Source-derived / reconstructed network</x:v>
      </x:c>
      <x:c r="U302" s="54" t="n">
        <x:v>46237</x:v>
      </x:c>
      <x:c r="V302" s="54" t="n">
        <x:v>46255</x:v>
      </x:c>
      <x:c r="W302" s="54" t="n">
        <x:v>46237</x:v>
      </x:c>
      <x:c r="X302" s="54" t="n">
        <x:v>46255</x:v>
      </x:c>
      <x:c r="Y302" s="78" t="n">
        <x:v>0</x:v>
      </x:c>
    </x:row>
    <x:row r="303" ht="21" customHeight="1">
      <x:c r="A303" t="str">
        <x:v>P09-A6</x:v>
      </x:c>
      <x:c r="B303" t="str">
        <x:v>P09</x:v>
      </x:c>
      <x:c r="C303" t="str">
        <x:v>Specialty (HDD) Contractor Mobilization</x:v>
      </x:c>
      <x:c r="D303" t="str">
        <x:v>1.09.3.2</x:v>
      </x:c>
      <x:c r="E303" s="54" t="n">
        <x:v>46237</x:v>
      </x:c>
      <x:c r="F303" s="54" t="n">
        <x:v>46262</x:v>
      </x:c>
      <x:c r="G303" s="54"/>
      <x:c r="H303" s="54"/>
      <x:c r="I303" s="54"/>
      <x:c r="J303" s="54"/>
      <x:c r="K303" t="n">
        <x:v>20</x:v>
      </x:c>
      <x:c r="L303" t="str">
        <x:v>P09-M2</x:v>
      </x:c>
      <x:c r="M303"/>
      <x:c r="N303" s="21" t="b">
        <x:v>0</x:v>
      </x:c>
      <x:c r="O303" s="21" t="b">
        <x:v>0</x:v>
      </x:c>
      <x:c r="P303" t="str">
        <x:v>P09-CA03</x:v>
      </x:c>
      <x:c r="Q303" t="str">
        <x:v>P09-WP032</x:v>
      </x:c>
      <x:c r="R303" t="str">
        <x:v>Task</x:v>
      </x:c>
      <x:c r="S303" t="str">
        <x:v>Synthetic project-specific planning assumption</x:v>
      </x:c>
      <x:c r="T303" t="str">
        <x:v>Source-derived / reconstructed network</x:v>
      </x:c>
      <x:c r="U303" s="54" t="n">
        <x:v>46237</x:v>
      </x:c>
      <x:c r="V303" s="54" t="n">
        <x:v>46262</x:v>
      </x:c>
      <x:c r="W303" s="54" t="n">
        <x:v>46261</x:v>
      </x:c>
      <x:c r="X303" s="54" t="n">
        <x:v>46288</x:v>
      </x:c>
      <x:c r="Y303" s="78" t="n">
        <x:v>18</x:v>
      </x:c>
    </x:row>
    <x:row r="304" ht="21" customHeight="1">
      <x:c r="A304" t="str">
        <x:v>P09-A7</x:v>
      </x:c>
      <x:c r="B304" t="str">
        <x:v>P09</x:v>
      </x:c>
      <x:c r="C304" t="str">
        <x:v>Utility Coordination &amp; Locate Requests</x:v>
      </x:c>
      <x:c r="D304" t="str">
        <x:v>1.09.4.1</x:v>
      </x:c>
      <x:c r="E304" s="54" t="n">
        <x:v>46237</x:v>
      </x:c>
      <x:c r="F304" s="54" t="n">
        <x:v>46255</x:v>
      </x:c>
      <x:c r="G304" s="54"/>
      <x:c r="H304" s="54"/>
      <x:c r="I304" s="54"/>
      <x:c r="J304" s="54"/>
      <x:c r="K304" t="n">
        <x:v>15</x:v>
      </x:c>
      <x:c r="L304" t="str">
        <x:v>P09-M2</x:v>
      </x:c>
      <x:c r="M304"/>
      <x:c r="N304" s="21" t="b">
        <x:v>0</x:v>
      </x:c>
      <x:c r="O304" s="21" t="b">
        <x:v>0</x:v>
      </x:c>
      <x:c r="P304" t="str">
        <x:v>P09-CA04</x:v>
      </x:c>
      <x:c r="Q304" t="str">
        <x:v>P09-WP041</x:v>
      </x:c>
      <x:c r="R304" t="str">
        <x:v>Task</x:v>
      </x:c>
      <x:c r="S304" t="str">
        <x:v>Project-type realism</x:v>
      </x:c>
      <x:c r="T304" t="str">
        <x:v>Source-derived / reconstructed network</x:v>
      </x:c>
      <x:c r="U304" s="54" t="n">
        <x:v>46237</x:v>
      </x:c>
      <x:c r="V304" s="54" t="n">
        <x:v>46255</x:v>
      </x:c>
      <x:c r="W304" s="54" t="n">
        <x:v>46268</x:v>
      </x:c>
      <x:c r="X304" s="54" t="n">
        <x:v>46288</x:v>
      </x:c>
      <x:c r="Y304" s="78" t="n">
        <x:v>23</x:v>
      </x:c>
    </x:row>
    <x:row r="305" ht="21" customHeight="1">
      <x:c r="A305" t="str">
        <x:v>P09-A8</x:v>
      </x:c>
      <x:c r="B305" t="str">
        <x:v>P09</x:v>
      </x:c>
      <x:c r="C305" t="str">
        <x:v>Temporary Bypass/Interconnection Planning</x:v>
      </x:c>
      <x:c r="D305" t="str">
        <x:v>1.09.4.1</x:v>
      </x:c>
      <x:c r="E305" s="54" t="n">
        <x:v>46237</x:v>
      </x:c>
      <x:c r="F305" s="54" t="n">
        <x:v>46255</x:v>
      </x:c>
      <x:c r="G305" s="54"/>
      <x:c r="H305" s="54"/>
      <x:c r="I305" s="54"/>
      <x:c r="J305" s="54"/>
      <x:c r="K305" t="n">
        <x:v>15</x:v>
      </x:c>
      <x:c r="L305" t="str">
        <x:v>P09-M2</x:v>
      </x:c>
      <x:c r="M305"/>
      <x:c r="N305" s="21" t="b">
        <x:v>0</x:v>
      </x:c>
      <x:c r="O305" s="21" t="b">
        <x:v>0</x:v>
      </x:c>
      <x:c r="P305" t="str">
        <x:v>P09-CA04</x:v>
      </x:c>
      <x:c r="Q305" t="str">
        <x:v>P09-WP041</x:v>
      </x:c>
      <x:c r="R305" t="str">
        <x:v>Task</x:v>
      </x:c>
      <x:c r="S305" t="str">
        <x:v>Synthetic project-specific planning assumption</x:v>
      </x:c>
      <x:c r="T305" t="str">
        <x:v>Source-derived / reconstructed network</x:v>
      </x:c>
      <x:c r="U305" s="54" t="n">
        <x:v>46237</x:v>
      </x:c>
      <x:c r="V305" s="54" t="n">
        <x:v>46255</x:v>
      </x:c>
      <x:c r="W305" s="54" t="n">
        <x:v>46338</x:v>
      </x:c>
      <x:c r="X305" s="54" t="n">
        <x:v>46358</x:v>
      </x:c>
      <x:c r="Y305" s="78" t="n">
        <x:v>73</x:v>
      </x:c>
    </x:row>
    <x:row r="306" ht="21" customHeight="1">
      <x:c r="A306" t="str">
        <x:v>P09-A11</x:v>
      </x:c>
      <x:c r="B306" t="str">
        <x:v>P09</x:v>
      </x:c>
      <x:c r="C306" t="str">
        <x:v>HDPE Fabrication / Fusion Prep</x:v>
      </x:c>
      <x:c r="D306" t="str">
        <x:v>1.09.4.2</x:v>
      </x:c>
      <x:c r="E306" s="54" t="n">
        <x:v>46258</x:v>
      </x:c>
      <x:c r="F306" s="54" t="n">
        <x:v>46318</x:v>
      </x:c>
      <x:c r="G306" s="54"/>
      <x:c r="H306" s="54"/>
      <x:c r="I306" s="54"/>
      <x:c r="J306" s="54"/>
      <x:c r="K306" t="n">
        <x:v>45</x:v>
      </x:c>
      <x:c r="L306" t="str">
        <x:v>P09-A10</x:v>
      </x:c>
      <x:c r="M306"/>
      <x:c r="N306" s="21" t="b">
        <x:v>0</x:v>
      </x:c>
      <x:c r="O306" s="21" t="b">
        <x:v>1</x:v>
      </x:c>
      <x:c r="P306" t="str">
        <x:v>P09-CA04</x:v>
      </x:c>
      <x:c r="Q306" t="str">
        <x:v>P09-WP042</x:v>
      </x:c>
      <x:c r="R306" t="str">
        <x:v>Task</x:v>
      </x:c>
      <x:c r="S306" t="str">
        <x:v>Synthetic, industry-informed planning assumption</x:v>
      </x:c>
      <x:c r="T306" t="str">
        <x:v>Source-derived / reconstructed network</x:v>
      </x:c>
      <x:c r="U306" s="54" t="n">
        <x:v>46258</x:v>
      </x:c>
      <x:c r="V306" s="54" t="n">
        <x:v>46318</x:v>
      </x:c>
      <x:c r="W306" s="54" t="n">
        <x:v>46258</x:v>
      </x:c>
      <x:c r="X306" s="54" t="n">
        <x:v>46318</x:v>
      </x:c>
      <x:c r="Y306" s="78" t="n">
        <x:v>0</x:v>
      </x:c>
    </x:row>
    <x:row r="307" ht="21" customHeight="1">
      <x:c r="A307" t="str">
        <x:v>P09-A9</x:v>
      </x:c>
      <x:c r="B307" t="str">
        <x:v>P09</x:v>
      </x:c>
      <x:c r="C307" t="str">
        <x:v>Install Temporary Interconnection/Bypass</x:v>
      </x:c>
      <x:c r="D307" t="str">
        <x:v>1.09.4.1</x:v>
      </x:c>
      <x:c r="E307" s="54" t="n">
        <x:v>46258</x:v>
      </x:c>
      <x:c r="F307" s="54" t="n">
        <x:v>46269</x:v>
      </x:c>
      <x:c r="G307" s="54"/>
      <x:c r="H307" s="54"/>
      <x:c r="I307" s="54"/>
      <x:c r="J307" s="54"/>
      <x:c r="K307" t="n">
        <x:v>10</x:v>
      </x:c>
      <x:c r="L307" t="str">
        <x:v>P09-A8</x:v>
      </x:c>
      <x:c r="M307"/>
      <x:c r="N307" s="21" t="b">
        <x:v>0</x:v>
      </x:c>
      <x:c r="O307" s="21" t="b">
        <x:v>0</x:v>
      </x:c>
      <x:c r="P307" t="str">
        <x:v>P09-CA04</x:v>
      </x:c>
      <x:c r="Q307" t="str">
        <x:v>P09-WP041</x:v>
      </x:c>
      <x:c r="R307" t="str">
        <x:v>Task</x:v>
      </x:c>
      <x:c r="S307" t="str">
        <x:v>Synthetic project-specific planning assumption</x:v>
      </x:c>
      <x:c r="T307" t="str">
        <x:v>Source-derived / reconstructed network</x:v>
      </x:c>
      <x:c r="U307" s="54" t="n">
        <x:v>46258</x:v>
      </x:c>
      <x:c r="V307" s="54" t="n">
        <x:v>46269</x:v>
      </x:c>
      <x:c r="W307" s="54" t="n">
        <x:v>46359</x:v>
      </x:c>
      <x:c r="X307" s="54" t="n">
        <x:v>46372</x:v>
      </x:c>
      <x:c r="Y307" s="78" t="n">
        <x:v>73</x:v>
      </x:c>
    </x:row>
    <x:row r="308" ht="21" customHeight="1">
      <x:c r="A308" t="str">
        <x:v>P09-MSPECMOB</x:v>
      </x:c>
      <x:c r="B308" t="str">
        <x:v>P09</x:v>
      </x:c>
      <x:c r="C308" t="str">
        <x:v>MSPECMOB</x:v>
      </x:c>
      <x:c r="D308" t="str">
        <x:v>1.09.4.1</x:v>
      </x:c>
      <x:c r="E308" s="54" t="n">
        <x:v>46262</x:v>
      </x:c>
      <x:c r="F308" s="54" t="n">
        <x:v>46262</x:v>
      </x:c>
      <x:c r="G308" s="54"/>
      <x:c r="H308" s="54"/>
      <x:c r="I308" s="54"/>
      <x:c r="J308" s="54"/>
      <x:c r="K308" t="n">
        <x:v>0</x:v>
      </x:c>
      <x:c r="L308" t="str">
        <x:v>P09-A6</x:v>
      </x:c>
      <x:c r="M308"/>
      <x:c r="N308" s="21" t="b">
        <x:v>1</x:v>
      </x:c>
      <x:c r="O308" s="21" t="b">
        <x:v>0</x:v>
      </x:c>
      <x:c r="P308" t="str">
        <x:v>P09-CA04</x:v>
      </x:c>
      <x:c r="Q308" t="str">
        <x:v>P09-WP041</x:v>
      </x:c>
      <x:c r="R308" t="str">
        <x:v>Milestone</x:v>
      </x:c>
      <x:c r="S308" t="str">
        <x:v>Approved milestone / interface milestone</x:v>
      </x:c>
      <x:c r="T308" t="str">
        <x:v>Source-explicit milestone date</x:v>
      </x:c>
      <x:c r="U308" s="54" t="n">
        <x:v>46262</x:v>
      </x:c>
      <x:c r="V308" s="54" t="n">
        <x:v>46262</x:v>
      </x:c>
      <x:c r="W308" s="54" t="n">
        <x:v>46449</x:v>
      </x:c>
      <x:c r="X308" s="54" t="n">
        <x:v>46449</x:v>
      </x:c>
      <x:c r="Y308" s="78" t="n">
        <x:v>133</x:v>
      </x:c>
    </x:row>
    <x:row r="309" ht="21" customHeight="1">
      <x:c r="A309" t="str">
        <x:v>P09-A13</x:v>
      </x:c>
      <x:c r="B309" t="str">
        <x:v>P09</x:v>
      </x:c>
      <x:c r="C309" t="str">
        <x:v>Entry/Exit Pit Excavation &amp; Site Setup</x:v>
      </x:c>
      <x:c r="D309" t="str">
        <x:v>1.09.4.1</x:v>
      </x:c>
      <x:c r="E309" s="54" t="n">
        <x:v>46265</x:v>
      </x:c>
      <x:c r="F309" s="54" t="n">
        <x:v>46276</x:v>
      </x:c>
      <x:c r="G309" s="54"/>
      <x:c r="H309" s="54"/>
      <x:c r="I309" s="54"/>
      <x:c r="J309" s="54"/>
      <x:c r="K309" t="n">
        <x:v>10</x:v>
      </x:c>
      <x:c r="L309" t="str">
        <x:v>P09-A6, P09-A7</x:v>
      </x:c>
      <x:c r="M309"/>
      <x:c r="N309" s="21" t="b">
        <x:v>0</x:v>
      </x:c>
      <x:c r="O309" s="21" t="b">
        <x:v>0</x:v>
      </x:c>
      <x:c r="P309" t="str">
        <x:v>P09-CA04</x:v>
      </x:c>
      <x:c r="Q309" t="str">
        <x:v>P09-WP041</x:v>
      </x:c>
      <x:c r="R309" t="str">
        <x:v>Task</x:v>
      </x:c>
      <x:c r="S309" t="str">
        <x:v>Project-type realism</x:v>
      </x:c>
      <x:c r="T309" t="str">
        <x:v>Source-derived / reconstructed network</x:v>
      </x:c>
      <x:c r="U309" s="54" t="n">
        <x:v>46265</x:v>
      </x:c>
      <x:c r="V309" s="54" t="n">
        <x:v>46276</x:v>
      </x:c>
      <x:c r="W309" s="54" t="n">
        <x:v>46289</x:v>
      </x:c>
      <x:c r="X309" s="54" t="n">
        <x:v>46302</x:v>
      </x:c>
      <x:c r="Y309" s="78" t="n">
        <x:v>18</x:v>
      </x:c>
    </x:row>
    <x:row r="310" ht="21" customHeight="1">
      <x:c r="A310" t="str">
        <x:v>P09-A14</x:v>
      </x:c>
      <x:c r="B310" t="str">
        <x:v>P09</x:v>
      </x:c>
      <x:c r="C310" t="str">
        <x:v>HDD Pilot Bore</x:v>
      </x:c>
      <x:c r="D310" t="str">
        <x:v>1.09.4.1</x:v>
      </x:c>
      <x:c r="E310" s="54" t="n">
        <x:v>46279</x:v>
      </x:c>
      <x:c r="F310" s="54" t="n">
        <x:v>46304</x:v>
      </x:c>
      <x:c r="G310" s="54"/>
      <x:c r="H310" s="54"/>
      <x:c r="I310" s="54"/>
      <x:c r="J310" s="54"/>
      <x:c r="K310" t="n">
        <x:v>20</x:v>
      </x:c>
      <x:c r="L310" t="str">
        <x:v>P09-A13</x:v>
      </x:c>
      <x:c r="M310"/>
      <x:c r="N310" s="21" t="b">
        <x:v>0</x:v>
      </x:c>
      <x:c r="O310" s="21" t="b">
        <x:v>0</x:v>
      </x:c>
      <x:c r="P310" t="str">
        <x:v>P09-CA04</x:v>
      </x:c>
      <x:c r="Q310" t="str">
        <x:v>P09-WP041</x:v>
      </x:c>
      <x:c r="R310" t="str">
        <x:v>Task</x:v>
      </x:c>
      <x:c r="S310" t="str">
        <x:v>Synthetic, industry-informed planning assumption</x:v>
      </x:c>
      <x:c r="T310" t="str">
        <x:v>Recovered from approved P09 milestones, durations, and published relationship highlights</x:v>
      </x:c>
      <x:c r="U310" s="54" t="n">
        <x:v>46279</x:v>
      </x:c>
      <x:c r="V310" s="54" t="n">
        <x:v>46304</x:v>
      </x:c>
      <x:c r="W310" s="54" t="n">
        <x:v>46303</x:v>
      </x:c>
      <x:c r="X310" s="54" t="n">
        <x:v>46330</x:v>
      </x:c>
      <x:c r="Y310" s="78" t="n">
        <x:v>18</x:v>
      </x:c>
    </x:row>
    <x:row r="311" ht="21" customHeight="1">
      <x:c r="A311" t="str">
        <x:v>P09-A12</x:v>
      </x:c>
      <x:c r="B311" t="str">
        <x:v>P09</x:v>
      </x:c>
      <x:c r="C311" t="str">
        <x:v>Delivery &amp; Receiving</x:v>
      </x:c>
      <x:c r="D311" t="str">
        <x:v>1.09.4.1</x:v>
      </x:c>
      <x:c r="E311" s="54" t="n">
        <x:v>46321</x:v>
      </x:c>
      <x:c r="F311" s="54" t="n">
        <x:v>46330</x:v>
      </x:c>
      <x:c r="G311" s="54"/>
      <x:c r="H311" s="54"/>
      <x:c r="I311" s="54"/>
      <x:c r="J311" s="54"/>
      <x:c r="K311" t="n">
        <x:v>8</x:v>
      </x:c>
      <x:c r="L311" t="str">
        <x:v>P09-A11</x:v>
      </x:c>
      <x:c r="M311"/>
      <x:c r="N311" s="21" t="b">
        <x:v>0</x:v>
      </x:c>
      <x:c r="O311" s="21" t="b">
        <x:v>1</x:v>
      </x:c>
      <x:c r="P311" t="str">
        <x:v>P09-CA04</x:v>
      </x:c>
      <x:c r="Q311" t="str">
        <x:v>P09-WP041</x:v>
      </x:c>
      <x:c r="R311" t="str">
        <x:v>Task</x:v>
      </x:c>
      <x:c r="S311" t="str">
        <x:v>Synthetic, industry-informed planning assumption</x:v>
      </x:c>
      <x:c r="T311" t="str">
        <x:v>Source-derived / reconstructed network</x:v>
      </x:c>
      <x:c r="U311" s="54" t="n">
        <x:v>46321</x:v>
      </x:c>
      <x:c r="V311" s="54" t="n">
        <x:v>46330</x:v>
      </x:c>
      <x:c r="W311" s="54" t="n">
        <x:v>46321</x:v>
      </x:c>
      <x:c r="X311" s="54" t="n">
        <x:v>46330</x:v>
      </x:c>
      <x:c r="Y311" s="78" t="n">
        <x:v>0</x:v>
      </x:c>
    </x:row>
    <x:row r="312" ht="21" customHeight="1">
      <x:c r="A312" t="str">
        <x:v>P09-A15</x:v>
      </x:c>
      <x:c r="B312" t="str">
        <x:v>P09</x:v>
      </x:c>
      <x:c r="C312" t="str">
        <x:v>Reaming &amp; Pullback</x:v>
      </x:c>
      <x:c r="D312" t="str">
        <x:v>1.09.4.1</x:v>
      </x:c>
      <x:c r="E312" s="54" t="n">
        <x:v>46331</x:v>
      </x:c>
      <x:c r="F312" s="54" t="n">
        <x:v>46351</x:v>
      </x:c>
      <x:c r="G312" s="54"/>
      <x:c r="H312" s="54"/>
      <x:c r="I312" s="54"/>
      <x:c r="J312" s="54"/>
      <x:c r="K312" t="n">
        <x:v>15</x:v>
      </x:c>
      <x:c r="L312" t="str">
        <x:v>P09-A12, P09-A14</x:v>
      </x:c>
      <x:c r="M312"/>
      <x:c r="N312" s="21" t="b">
        <x:v>0</x:v>
      </x:c>
      <x:c r="O312" s="21" t="b">
        <x:v>1</x:v>
      </x:c>
      <x:c r="P312" t="str">
        <x:v>P09-CA04</x:v>
      </x:c>
      <x:c r="Q312" t="str">
        <x:v>P09-WP041</x:v>
      </x:c>
      <x:c r="R312" t="str">
        <x:v>Task</x:v>
      </x:c>
      <x:c r="S312" t="str">
        <x:v>Synthetic, industry-informed planning assumption</x:v>
      </x:c>
      <x:c r="T312" t="str">
        <x:v>Recovered from approved P09 milestones, durations, and published relationship highlights</x:v>
      </x:c>
      <x:c r="U312" s="54" t="n">
        <x:v>46331</x:v>
      </x:c>
      <x:c r="V312" s="54" t="n">
        <x:v>46351</x:v>
      </x:c>
      <x:c r="W312" s="54" t="n">
        <x:v>46331</x:v>
      </x:c>
      <x:c r="X312" s="54" t="n">
        <x:v>46351</x:v>
      </x:c>
      <x:c r="Y312" s="78" t="n">
        <x:v>0</x:v>
      </x:c>
    </x:row>
    <x:row r="313" ht="21" customHeight="1">
      <x:c r="A313" t="str">
        <x:v>P09-MCROSSDONE</x:v>
      </x:c>
      <x:c r="B313" t="str">
        <x:v>P09</x:v>
      </x:c>
      <x:c r="C313" t="str">
        <x:v>MCROSSDONE</x:v>
      </x:c>
      <x:c r="D313" t="str">
        <x:v>1.09.4.1</x:v>
      </x:c>
      <x:c r="E313" s="54" t="n">
        <x:v>46351</x:v>
      </x:c>
      <x:c r="F313" s="54" t="n">
        <x:v>46351</x:v>
      </x:c>
      <x:c r="G313" s="54"/>
      <x:c r="H313" s="54"/>
      <x:c r="I313" s="54"/>
      <x:c r="J313" s="54"/>
      <x:c r="K313" t="n">
        <x:v>0</x:v>
      </x:c>
      <x:c r="L313" t="str">
        <x:v>P09-A15</x:v>
      </x:c>
      <x:c r="M313"/>
      <x:c r="N313" s="21" t="b">
        <x:v>1</x:v>
      </x:c>
      <x:c r="O313" s="21" t="b">
        <x:v>0</x:v>
      </x:c>
      <x:c r="P313" t="str">
        <x:v>P09-CA04</x:v>
      </x:c>
      <x:c r="Q313" t="str">
        <x:v>P09-WP041</x:v>
      </x:c>
      <x:c r="R313" t="str">
        <x:v>Milestone</x:v>
      </x:c>
      <x:c r="S313" t="str">
        <x:v>Approved milestone / interface milestone</x:v>
      </x:c>
      <x:c r="T313" t="str">
        <x:v>Source-explicit milestone date</x:v>
      </x:c>
      <x:c r="U313" s="54" t="n">
        <x:v>46351</x:v>
      </x:c>
      <x:c r="V313" s="54" t="n">
        <x:v>46351</x:v>
      </x:c>
      <x:c r="W313" s="54" t="n">
        <x:v>46449</x:v>
      </x:c>
      <x:c r="X313" s="54" t="n">
        <x:v>46449</x:v>
      </x:c>
      <x:c r="Y313" s="78" t="n">
        <x:v>70</x:v>
      </x:c>
    </x:row>
    <x:row r="314" ht="21" customHeight="1">
      <x:c r="A314" t="str">
        <x:v>P09-A16</x:v>
      </x:c>
      <x:c r="B314" t="str">
        <x:v>P09</x:v>
      </x:c>
      <x:c r="C314" t="str">
        <x:v>Tie-In — Entry Side</x:v>
      </x:c>
      <x:c r="D314" t="str">
        <x:v>1.09.4.1</x:v>
      </x:c>
      <x:c r="E314" s="54" t="n">
        <x:v>46352</x:v>
      </x:c>
      <x:c r="F314" s="54" t="n">
        <x:v>46365</x:v>
      </x:c>
      <x:c r="G314" s="54"/>
      <x:c r="H314" s="54"/>
      <x:c r="I314" s="54"/>
      <x:c r="J314" s="54"/>
      <x:c r="K314" t="n">
        <x:v>10</x:v>
      </x:c>
      <x:c r="L314" t="str">
        <x:v>P09-A15</x:v>
      </x:c>
      <x:c r="M314"/>
      <x:c r="N314" s="21" t="b">
        <x:v>0</x:v>
      </x:c>
      <x:c r="O314" s="21" t="b">
        <x:v>1</x:v>
      </x:c>
      <x:c r="P314" t="str">
        <x:v>P09-CA04</x:v>
      </x:c>
      <x:c r="Q314" t="str">
        <x:v>P09-WP041</x:v>
      </x:c>
      <x:c r="R314" t="str">
        <x:v>Task</x:v>
      </x:c>
      <x:c r="S314" t="str">
        <x:v>Project-type realism</x:v>
      </x:c>
      <x:c r="T314" t="str">
        <x:v>Recovered from approved P09 milestones, durations, and published relationship highlights</x:v>
      </x:c>
      <x:c r="U314" s="54" t="n">
        <x:v>46352</x:v>
      </x:c>
      <x:c r="V314" s="54" t="n">
        <x:v>46365</x:v>
      </x:c>
      <x:c r="W314" s="54" t="n">
        <x:v>46352</x:v>
      </x:c>
      <x:c r="X314" s="54" t="n">
        <x:v>46365</x:v>
      </x:c>
      <x:c r="Y314" s="78" t="n">
        <x:v>0</x:v>
      </x:c>
    </x:row>
    <x:row r="315" ht="21" customHeight="1">
      <x:c r="A315" t="str">
        <x:v>P09-A17</x:v>
      </x:c>
      <x:c r="B315" t="str">
        <x:v>P09</x:v>
      </x:c>
      <x:c r="C315" t="str">
        <x:v>Tie-In — Exit Side</x:v>
      </x:c>
      <x:c r="D315" t="str">
        <x:v>1.09.4.1</x:v>
      </x:c>
      <x:c r="E315" s="54" t="n">
        <x:v>46352</x:v>
      </x:c>
      <x:c r="F315" s="54" t="n">
        <x:v>46365</x:v>
      </x:c>
      <x:c r="G315" s="54"/>
      <x:c r="H315" s="54"/>
      <x:c r="I315" s="54"/>
      <x:c r="J315" s="54"/>
      <x:c r="K315" t="n">
        <x:v>10</x:v>
      </x:c>
      <x:c r="L315" t="str">
        <x:v>P09-A15</x:v>
      </x:c>
      <x:c r="M315"/>
      <x:c r="N315" s="21" t="b">
        <x:v>0</x:v>
      </x:c>
      <x:c r="O315" s="21" t="b">
        <x:v>0</x:v>
      </x:c>
      <x:c r="P315" t="str">
        <x:v>P09-CA04</x:v>
      </x:c>
      <x:c r="Q315" t="str">
        <x:v>P09-WP041</x:v>
      </x:c>
      <x:c r="R315" t="str">
        <x:v>Task</x:v>
      </x:c>
      <x:c r="S315" t="str">
        <x:v>Project-type realism</x:v>
      </x:c>
      <x:c r="T315" t="str">
        <x:v>Recovered from approved P09 milestones, durations, and published relationship highlights</x:v>
      </x:c>
      <x:c r="U315" s="54" t="n">
        <x:v>46352</x:v>
      </x:c>
      <x:c r="V315" s="54" t="n">
        <x:v>46365</x:v>
      </x:c>
      <x:c r="W315" s="54" t="n">
        <x:v>46359</x:v>
      </x:c>
      <x:c r="X315" s="54" t="n">
        <x:v>46372</x:v>
      </x:c>
      <x:c r="Y315" s="78" t="n">
        <x:v>5</x:v>
      </x:c>
    </x:row>
    <x:row r="316" ht="21" customHeight="1">
      <x:c r="A316" t="str">
        <x:v>P09-A18</x:v>
      </x:c>
      <x:c r="B316" t="str">
        <x:v>P09</x:v>
      </x:c>
      <x:c r="C316" t="str">
        <x:v>Pressure Testing &amp; Disinfection</x:v>
      </x:c>
      <x:c r="D316" t="str">
        <x:v>1.09.5.1</x:v>
      </x:c>
      <x:c r="E316" s="54" t="n">
        <x:v>46373</x:v>
      </x:c>
      <x:c r="F316" s="54" t="n">
        <x:v>46379</x:v>
      </x:c>
      <x:c r="G316" s="54"/>
      <x:c r="H316" s="54"/>
      <x:c r="I316" s="54"/>
      <x:c r="J316" s="54"/>
      <x:c r="K316" t="n">
        <x:v>5</x:v>
      </x:c>
      <x:c r="L316" t="str">
        <x:v>P09-A16, P09-A17, P09-A9</x:v>
      </x:c>
      <x:c r="M316"/>
      <x:c r="N316" s="21" t="b">
        <x:v>0</x:v>
      </x:c>
      <x:c r="O316" s="21" t="b">
        <x:v>1</x:v>
      </x:c>
      <x:c r="P316" t="str">
        <x:v>P09-CA05</x:v>
      </x:c>
      <x:c r="Q316" t="str">
        <x:v>P09-WP051</x:v>
      </x:c>
      <x:c r="R316" t="str">
        <x:v>Task</x:v>
      </x:c>
      <x:c r="S316" t="str">
        <x:v>Project-type realism; +5bd settling lag in logic</x:v>
      </x:c>
      <x:c r="T316" t="str">
        <x:v>Recovered from approved P09 milestones, durations, and published relationship highlights</x:v>
      </x:c>
      <x:c r="U316" s="54" t="n">
        <x:v>46373</x:v>
      </x:c>
      <x:c r="V316" s="54" t="n">
        <x:v>46379</x:v>
      </x:c>
      <x:c r="W316" s="54" t="n">
        <x:v>46373</x:v>
      </x:c>
      <x:c r="X316" s="54" t="n">
        <x:v>46379</x:v>
      </x:c>
      <x:c r="Y316" s="78" t="n">
        <x:v>0</x:v>
      </x:c>
    </x:row>
    <x:row r="317" ht="21" customHeight="1">
      <x:c r="A317" t="str">
        <x:v>P09-A19</x:v>
      </x:c>
      <x:c r="B317" t="str">
        <x:v>P09</x:v>
      </x:c>
      <x:c r="C317" t="str">
        <x:v>Bacteriological Sampling &amp; Regulatory Clearance</x:v>
      </x:c>
      <x:c r="D317" t="str">
        <x:v>1.09.2.2</x:v>
      </x:c>
      <x:c r="E317" s="54" t="n">
        <x:v>46380</x:v>
      </x:c>
      <x:c r="F317" s="54" t="n">
        <x:v>46386</x:v>
      </x:c>
      <x:c r="G317" s="54"/>
      <x:c r="H317" s="54"/>
      <x:c r="I317" s="54"/>
      <x:c r="J317" s="54"/>
      <x:c r="K317" t="n">
        <x:v>5</x:v>
      </x:c>
      <x:c r="L317" t="str">
        <x:v>P09-A18</x:v>
      </x:c>
      <x:c r="M317"/>
      <x:c r="N317" s="21" t="b">
        <x:v>0</x:v>
      </x:c>
      <x:c r="O317" s="21" t="b">
        <x:v>1</x:v>
      </x:c>
      <x:c r="P317" t="str">
        <x:v>P09-CA02</x:v>
      </x:c>
      <x:c r="Q317" t="str">
        <x:v>P09-WP022</x:v>
      </x:c>
      <x:c r="R317" t="str">
        <x:v>Task</x:v>
      </x:c>
      <x:c r="S317" t="str">
        <x:v>Project-type realism</x:v>
      </x:c>
      <x:c r="T317" t="str">
        <x:v>Recovered from approved P09 milestones, durations, and published relationship highlights</x:v>
      </x:c>
      <x:c r="U317" s="54" t="n">
        <x:v>46380</x:v>
      </x:c>
      <x:c r="V317" s="54" t="n">
        <x:v>46386</x:v>
      </x:c>
      <x:c r="W317" s="54" t="n">
        <x:v>46380</x:v>
      </x:c>
      <x:c r="X317" s="54" t="n">
        <x:v>46386</x:v>
      </x:c>
      <x:c r="Y317" s="78" t="n">
        <x:v>0</x:v>
      </x:c>
    </x:row>
    <x:row r="318" ht="21" customHeight="1">
      <x:c r="A318" t="str">
        <x:v>P09-MINSERVICE</x:v>
      </x:c>
      <x:c r="B318" t="str">
        <x:v>P09</x:v>
      </x:c>
      <x:c r="C318" t="str">
        <x:v>MINSERVICE</x:v>
      </x:c>
      <x:c r="D318" t="str">
        <x:v>1.09.4.1</x:v>
      </x:c>
      <x:c r="E318" s="54" t="n">
        <x:v>46386</x:v>
      </x:c>
      <x:c r="F318" s="54" t="n">
        <x:v>46386</x:v>
      </x:c>
      <x:c r="G318" s="54"/>
      <x:c r="H318" s="54"/>
      <x:c r="I318" s="54"/>
      <x:c r="J318" s="54"/>
      <x:c r="K318" t="n">
        <x:v>0</x:v>
      </x:c>
      <x:c r="L318" t="str">
        <x:v>P09-A19</x:v>
      </x:c>
      <x:c r="M318"/>
      <x:c r="N318" s="21" t="b">
        <x:v>1</x:v>
      </x:c>
      <x:c r="O318" s="21" t="b">
        <x:v>0</x:v>
      </x:c>
      <x:c r="P318" t="str">
        <x:v>P09-CA04</x:v>
      </x:c>
      <x:c r="Q318" t="str">
        <x:v>P09-WP041</x:v>
      </x:c>
      <x:c r="R318" t="str">
        <x:v>Milestone</x:v>
      </x:c>
      <x:c r="S318" t="str">
        <x:v>Approved milestone / interface milestone</x:v>
      </x:c>
      <x:c r="T318" t="str">
        <x:v>Source-explicit milestone date</x:v>
      </x:c>
      <x:c r="U318" s="54" t="n">
        <x:v>46386</x:v>
      </x:c>
      <x:c r="V318" s="54" t="n">
        <x:v>46386</x:v>
      </x:c>
      <x:c r="W318" s="54" t="n">
        <x:v>46449</x:v>
      </x:c>
      <x:c r="X318" s="54" t="n">
        <x:v>46449</x:v>
      </x:c>
      <x:c r="Y318" s="78" t="n">
        <x:v>45</x:v>
      </x:c>
    </x:row>
    <x:row r="319" ht="21" customHeight="1">
      <x:c r="A319" t="str">
        <x:v>P09-A20</x:v>
      </x:c>
      <x:c r="B319" t="str">
        <x:v>P09</x:v>
      </x:c>
      <x:c r="C319" t="str">
        <x:v>Riverbank &amp; Pit Restoration</x:v>
      </x:c>
      <x:c r="D319" t="str">
        <x:v>1.09.4.3</x:v>
      </x:c>
      <x:c r="E319" s="54" t="n">
        <x:v>46387</x:v>
      </x:c>
      <x:c r="F319" s="54" t="n">
        <x:v>46407</x:v>
      </x:c>
      <x:c r="G319" s="54"/>
      <x:c r="H319" s="54"/>
      <x:c r="I319" s="54"/>
      <x:c r="J319" s="54"/>
      <x:c r="K319" t="n">
        <x:v>15</x:v>
      </x:c>
      <x:c r="L319" t="str">
        <x:v>P09-A19</x:v>
      </x:c>
      <x:c r="M319"/>
      <x:c r="N319" s="21" t="b">
        <x:v>0</x:v>
      </x:c>
      <x:c r="O319" s="21" t="b">
        <x:v>1</x:v>
      </x:c>
      <x:c r="P319" t="str">
        <x:v>P09-CA04</x:v>
      </x:c>
      <x:c r="Q319" t="str">
        <x:v>P09-WP043</x:v>
      </x:c>
      <x:c r="R319" t="str">
        <x:v>Task</x:v>
      </x:c>
      <x:c r="S319" t="str">
        <x:v>Project-type realism</x:v>
      </x:c>
      <x:c r="T319" t="str">
        <x:v>Recovered from approved P09 milestones, durations, and published relationship highlights</x:v>
      </x:c>
      <x:c r="U319" s="54" t="n">
        <x:v>46387</x:v>
      </x:c>
      <x:c r="V319" s="54" t="n">
        <x:v>46407</x:v>
      </x:c>
      <x:c r="W319" s="54" t="n">
        <x:v>46387</x:v>
      </x:c>
      <x:c r="X319" s="54" t="n">
        <x:v>46407</x:v>
      </x:c>
      <x:c r="Y319" s="78" t="n">
        <x:v>0</x:v>
      </x:c>
    </x:row>
    <x:row r="320" ht="21" customHeight="1">
      <x:c r="A320" t="str">
        <x:v>P09-A21</x:v>
      </x:c>
      <x:c r="B320" t="str">
        <x:v>P09</x:v>
      </x:c>
      <x:c r="C320" t="str">
        <x:v>Final Inspection &amp; Punch List</x:v>
      </x:c>
      <x:c r="D320" t="str">
        <x:v>1.09.4.1</x:v>
      </x:c>
      <x:c r="E320" s="54" t="n">
        <x:v>46408</x:v>
      </x:c>
      <x:c r="F320" s="54" t="n">
        <x:v>46421</x:v>
      </x:c>
      <x:c r="G320" s="54"/>
      <x:c r="H320" s="54"/>
      <x:c r="I320" s="54"/>
      <x:c r="J320" s="54"/>
      <x:c r="K320" t="n">
        <x:v>10</x:v>
      </x:c>
      <x:c r="L320" t="str">
        <x:v>P09-A20</x:v>
      </x:c>
      <x:c r="M320"/>
      <x:c r="N320" s="21" t="b">
        <x:v>0</x:v>
      </x:c>
      <x:c r="O320" s="21" t="b">
        <x:v>1</x:v>
      </x:c>
      <x:c r="P320" t="str">
        <x:v>P09-CA04</x:v>
      </x:c>
      <x:c r="Q320" t="str">
        <x:v>P09-WP041</x:v>
      </x:c>
      <x:c r="R320" t="str">
        <x:v>Task</x:v>
      </x:c>
      <x:c r="S320" t="str">
        <x:v>Project-type realism</x:v>
      </x:c>
      <x:c r="T320" t="str">
        <x:v>Recovered from approved P09 milestones, durations, and published relationship highlights</x:v>
      </x:c>
      <x:c r="U320" s="54" t="n">
        <x:v>46408</x:v>
      </x:c>
      <x:c r="V320" s="54" t="n">
        <x:v>46421</x:v>
      </x:c>
      <x:c r="W320" s="54" t="n">
        <x:v>46408</x:v>
      </x:c>
      <x:c r="X320" s="54" t="n">
        <x:v>46421</x:v>
      </x:c>
      <x:c r="Y320" s="78" t="n">
        <x:v>0</x:v>
      </x:c>
    </x:row>
    <x:row r="321" ht="21" customHeight="1">
      <x:c r="A321" t="str">
        <x:v>P09-M3</x:v>
      </x:c>
      <x:c r="B321" t="str">
        <x:v>P09</x:v>
      </x:c>
      <x:c r="C321" t="str">
        <x:v>Substantial Completion</x:v>
      </x:c>
      <x:c r="D321" t="str">
        <x:v>1.09.4.1</x:v>
      </x:c>
      <x:c r="E321" s="54" t="n">
        <x:v>46421</x:v>
      </x:c>
      <x:c r="F321" s="54" t="n">
        <x:v>46421</x:v>
      </x:c>
      <x:c r="G321" s="54"/>
      <x:c r="H321" s="54"/>
      <x:c r="I321" s="54"/>
      <x:c r="J321" s="54"/>
      <x:c r="K321" t="n">
        <x:v>0</x:v>
      </x:c>
      <x:c r="L321" t="str">
        <x:v>P09-A21</x:v>
      </x:c>
      <x:c r="M321"/>
      <x:c r="N321" s="21" t="b">
        <x:v>1</x:v>
      </x:c>
      <x:c r="O321" s="21" t="b">
        <x:v>0</x:v>
      </x:c>
      <x:c r="P321" t="str">
        <x:v>P09-CA04</x:v>
      </x:c>
      <x:c r="Q321" t="str">
        <x:v>P09-WP041</x:v>
      </x:c>
      <x:c r="R321" t="str">
        <x:v>Milestone</x:v>
      </x:c>
      <x:c r="S321" t="str">
        <x:v>Approved milestone / interface milestone</x:v>
      </x:c>
      <x:c r="T321" t="str">
        <x:v>Source-explicit milestone date</x:v>
      </x:c>
      <x:c r="U321" s="54" t="n">
        <x:v>46421</x:v>
      </x:c>
      <x:c r="V321" s="54" t="n">
        <x:v>46421</x:v>
      </x:c>
      <x:c r="W321" s="54" t="n">
        <x:v>46449</x:v>
      </x:c>
      <x:c r="X321" s="54" t="n">
        <x:v>46449</x:v>
      </x:c>
      <x:c r="Y321" s="78" t="n">
        <x:v>20</x:v>
      </x:c>
    </x:row>
    <x:row r="322" ht="21" customHeight="1">
      <x:c r="A322" t="str">
        <x:v>P09-A22</x:v>
      </x:c>
      <x:c r="B322" t="str">
        <x:v>P09</x:v>
      </x:c>
      <x:c r="C322" t="str">
        <x:v>Documentation &amp; Turnover</x:v>
      </x:c>
      <x:c r="D322" t="str">
        <x:v>1.09.6.1</x:v>
      </x:c>
      <x:c r="E322" s="54" t="n">
        <x:v>46422</x:v>
      </x:c>
      <x:c r="F322" s="54" t="n">
        <x:v>46435</x:v>
      </x:c>
      <x:c r="G322" s="54"/>
      <x:c r="H322" s="54"/>
      <x:c r="I322" s="54"/>
      <x:c r="J322" s="54"/>
      <x:c r="K322" t="n">
        <x:v>10</x:v>
      </x:c>
      <x:c r="L322" t="str">
        <x:v>P09-A21</x:v>
      </x:c>
      <x:c r="M322"/>
      <x:c r="N322" s="21" t="b">
        <x:v>0</x:v>
      </x:c>
      <x:c r="O322" s="21" t="b">
        <x:v>1</x:v>
      </x:c>
      <x:c r="P322" t="str">
        <x:v>P09-CA06</x:v>
      </x:c>
      <x:c r="Q322" t="str">
        <x:v>P09-WP061</x:v>
      </x:c>
      <x:c r="R322" t="str">
        <x:v>Task</x:v>
      </x:c>
      <x:c r="S322" t="str">
        <x:v>Project-type realism</x:v>
      </x:c>
      <x:c r="T322" t="str">
        <x:v>Recovered from approved P09 milestones, durations, and published relationship highlights</x:v>
      </x:c>
      <x:c r="U322" s="54" t="n">
        <x:v>46422</x:v>
      </x:c>
      <x:c r="V322" s="54" t="n">
        <x:v>46435</x:v>
      </x:c>
      <x:c r="W322" s="54" t="n">
        <x:v>46422</x:v>
      </x:c>
      <x:c r="X322" s="54" t="n">
        <x:v>46435</x:v>
      </x:c>
      <x:c r="Y322" s="78" t="n">
        <x:v>0</x:v>
      </x:c>
    </x:row>
    <x:row r="323" ht="21" customHeight="1">
      <x:c r="A323" t="str">
        <x:v>P09-A23</x:v>
      </x:c>
      <x:c r="B323" t="str">
        <x:v>P09</x:v>
      </x:c>
      <x:c r="C323" t="str">
        <x:v>Financial Closeout</x:v>
      </x:c>
      <x:c r="D323" t="str">
        <x:v>1.09.6.2</x:v>
      </x:c>
      <x:c r="E323" s="54" t="n">
        <x:v>46429</x:v>
      </x:c>
      <x:c r="F323" s="54" t="n">
        <x:v>46449</x:v>
      </x:c>
      <x:c r="G323" s="54"/>
      <x:c r="H323" s="54"/>
      <x:c r="I323" s="54"/>
      <x:c r="J323" s="54"/>
      <x:c r="K323" t="n">
        <x:v>15</x:v>
      </x:c>
      <x:c r="L323" t="str">
        <x:v>P09-A22, P09-A21</x:v>
      </x:c>
      <x:c r="M323"/>
      <x:c r="N323" s="21" t="b">
        <x:v>0</x:v>
      </x:c>
      <x:c r="O323" s="21" t="b">
        <x:v>1</x:v>
      </x:c>
      <x:c r="P323" t="str">
        <x:v>P09-CA06</x:v>
      </x:c>
      <x:c r="Q323" t="str">
        <x:v>P09-WP062</x:v>
      </x:c>
      <x:c r="R323" t="str">
        <x:v>Task</x:v>
      </x:c>
      <x:c r="S323" t="str">
        <x:v>Project-type realism</x:v>
      </x:c>
      <x:c r="T323" t="str">
        <x:v>Recovered from approved P09 milestones, durations, and published relationship highlights</x:v>
      </x:c>
      <x:c r="U323" s="54" t="n">
        <x:v>46429</x:v>
      </x:c>
      <x:c r="V323" s="54" t="n">
        <x:v>46449</x:v>
      </x:c>
      <x:c r="W323" s="54" t="n">
        <x:v>46429</x:v>
      </x:c>
      <x:c r="X323" s="54" t="n">
        <x:v>46449</x:v>
      </x:c>
      <x:c r="Y323" s="78" t="n">
        <x:v>0</x:v>
      </x:c>
    </x:row>
    <x:row r="324" ht="21" customHeight="1">
      <x:c r="A324" t="str">
        <x:v>P09-M4</x:v>
      </x:c>
      <x:c r="B324" t="str">
        <x:v>P09</x:v>
      </x:c>
      <x:c r="C324" t="str">
        <x:v>Final Completion</x:v>
      </x:c>
      <x:c r="D324" t="str">
        <x:v>1.09.4.1</x:v>
      </x:c>
      <x:c r="E324" s="54" t="n">
        <x:v>46449</x:v>
      </x:c>
      <x:c r="F324" s="54" t="n">
        <x:v>46449</x:v>
      </x:c>
      <x:c r="G324" s="54"/>
      <x:c r="H324" s="54"/>
      <x:c r="I324" s="54"/>
      <x:c r="J324" s="54"/>
      <x:c r="K324" t="n">
        <x:v>0</x:v>
      </x:c>
      <x:c r="L324" t="str">
        <x:v>P09-A23</x:v>
      </x:c>
      <x:c r="M324"/>
      <x:c r="N324" s="21" t="b">
        <x:v>1</x:v>
      </x:c>
      <x:c r="O324" s="21" t="b">
        <x:v>1</x:v>
      </x:c>
      <x:c r="P324" t="str">
        <x:v>P09-CA04</x:v>
      </x:c>
      <x:c r="Q324" t="str">
        <x:v>P09-WP041</x:v>
      </x:c>
      <x:c r="R324" t="str">
        <x:v>Milestone</x:v>
      </x:c>
      <x:c r="S324" t="str">
        <x:v>Approved milestone / interface milestone</x:v>
      </x:c>
      <x:c r="T324" t="str">
        <x:v>Source-explicit milestone date</x:v>
      </x:c>
      <x:c r="U324" s="54" t="n">
        <x:v>46449</x:v>
      </x:c>
      <x:c r="V324" s="54" t="n">
        <x:v>46449</x:v>
      </x:c>
      <x:c r="W324" s="54" t="n">
        <x:v>46449</x:v>
      </x:c>
      <x:c r="X324" s="54" t="n">
        <x:v>46449</x:v>
      </x:c>
      <x:c r="Y324" s="78" t="n">
        <x:v>0</x:v>
      </x:c>
    </x:row>
    <x:row r="325" ht="21" customHeight="1">
      <x:c r="A325" t="str">
        <x:v>P10-A1</x:v>
      </x:c>
      <x:c r="B325" t="str">
        <x:v>P10</x:v>
      </x:c>
      <x:c r="C325" t="str">
        <x:v>Existing-System / Controls Inventory Assessment</x:v>
      </x:c>
      <x:c r="D325" t="str">
        <x:v>1.10.1.1</x:v>
      </x:c>
      <x:c r="E325" s="54" t="n">
        <x:v>46113</x:v>
      </x:c>
      <x:c r="F325" s="54" t="n">
        <x:v>46133</x:v>
      </x:c>
      <x:c r="G325" s="54"/>
      <x:c r="H325" s="54"/>
      <x:c r="I325" s="54"/>
      <x:c r="J325" s="54"/>
      <x:c r="K325" t="n">
        <x:v>15</x:v>
      </x:c>
      <x:c r="L325" t="str"/>
      <x:c r="M325"/>
      <x:c r="N325" s="21" t="b">
        <x:v>0</x:v>
      </x:c>
      <x:c r="O325" s="21" t="b">
        <x:v>1</x:v>
      </x:c>
      <x:c r="P325" t="str">
        <x:v>P10-CA01</x:v>
      </x:c>
      <x:c r="Q325" t="str">
        <x:v>P10-WP011</x:v>
      </x:c>
      <x:c r="R325" t="str">
        <x:v>Task</x:v>
      </x:c>
      <x:c r="S325" t="str">
        <x:v>Project-type realism</x:v>
      </x:c>
      <x:c r="T325" t="str">
        <x:v>Source-derived / reconstructed network | Scenario dates calculated from reconstructed logic, not source recovered</x:v>
      </x:c>
      <x:c r="U325" s="54" t="n">
        <x:v>46113</x:v>
      </x:c>
      <x:c r="V325" s="54" t="n">
        <x:v>46133</x:v>
      </x:c>
      <x:c r="W325" s="54" t="n">
        <x:v>46113</x:v>
      </x:c>
      <x:c r="X325" s="54" t="n">
        <x:v>46133</x:v>
      </x:c>
      <x:c r="Y325" s="78" t="n">
        <x:v>0</x:v>
      </x:c>
    </x:row>
    <x:row r="326" ht="21" customHeight="1">
      <x:c r="A326" t="str">
        <x:v>P10-A2</x:v>
      </x:c>
      <x:c r="B326" t="str">
        <x:v>P10</x:v>
      </x:c>
      <x:c r="C326" t="str">
        <x:v>Project Definition &amp; Network/Architecture Assessment</x:v>
      </x:c>
      <x:c r="D326" t="str">
        <x:v>1.10.1.1</x:v>
      </x:c>
      <x:c r="E326" s="54" t="n">
        <x:v>46134</x:v>
      </x:c>
      <x:c r="F326" s="54" t="n">
        <x:v>46147</x:v>
      </x:c>
      <x:c r="G326" s="54"/>
      <x:c r="H326" s="54"/>
      <x:c r="I326" s="54"/>
      <x:c r="J326" s="54"/>
      <x:c r="K326" t="n">
        <x:v>10</x:v>
      </x:c>
      <x:c r="L326" t="str">
        <x:v>P10-A1</x:v>
      </x:c>
      <x:c r="M326"/>
      <x:c r="N326" s="21" t="b">
        <x:v>0</x:v>
      </x:c>
      <x:c r="O326" s="21" t="b">
        <x:v>1</x:v>
      </x:c>
      <x:c r="P326" t="str">
        <x:v>P10-CA01</x:v>
      </x:c>
      <x:c r="Q326" t="str">
        <x:v>P10-WP011</x:v>
      </x:c>
      <x:c r="R326" t="str">
        <x:v>Task</x:v>
      </x:c>
      <x:c r="S326" t="str">
        <x:v>Project-type realism</x:v>
      </x:c>
      <x:c r="T326" t="str">
        <x:v>Source-derived / reconstructed network | Scenario dates calculated from reconstructed logic, not source recovered</x:v>
      </x:c>
      <x:c r="U326" s="54" t="n">
        <x:v>46134</x:v>
      </x:c>
      <x:c r="V326" s="54" t="n">
        <x:v>46147</x:v>
      </x:c>
      <x:c r="W326" s="54" t="n">
        <x:v>46134</x:v>
      </x:c>
      <x:c r="X326" s="54" t="n">
        <x:v>46147</x:v>
      </x:c>
      <x:c r="Y326" s="78" t="n">
        <x:v>0</x:v>
      </x:c>
    </x:row>
    <x:row r="327" ht="21" customHeight="1">
      <x:c r="A327" t="str">
        <x:v>P10-A3</x:v>
      </x:c>
      <x:c r="B327" t="str">
        <x:v>P10</x:v>
      </x:c>
      <x:c r="C327" t="str">
        <x:v>Control Narrative / Functional Requirements</x:v>
      </x:c>
      <x:c r="D327" t="str">
        <x:v>1.10.2.2</x:v>
      </x:c>
      <x:c r="E327" s="54" t="n">
        <x:v>46148</x:v>
      </x:c>
      <x:c r="F327" s="54" t="n">
        <x:v>46168</x:v>
      </x:c>
      <x:c r="G327" s="54"/>
      <x:c r="H327" s="54"/>
      <x:c r="I327" s="54"/>
      <x:c r="J327" s="54"/>
      <x:c r="K327" t="n">
        <x:v>15</x:v>
      </x:c>
      <x:c r="L327" t="str">
        <x:v>P10-A2</x:v>
      </x:c>
      <x:c r="M327"/>
      <x:c r="N327" s="21" t="b">
        <x:v>0</x:v>
      </x:c>
      <x:c r="O327" s="21" t="b">
        <x:v>1</x:v>
      </x:c>
      <x:c r="P327" t="str">
        <x:v>P10-CA02</x:v>
      </x:c>
      <x:c r="Q327" t="str">
        <x:v>P10-WP022</x:v>
      </x:c>
      <x:c r="R327" t="str">
        <x:v>Task</x:v>
      </x:c>
      <x:c r="S327" t="str">
        <x:v>Project-type realism</x:v>
      </x:c>
      <x:c r="T327" t="str">
        <x:v>Source-derived / reconstructed network | Scenario dates calculated from reconstructed logic, not source recovered</x:v>
      </x:c>
      <x:c r="U327" s="54" t="n">
        <x:v>46148</x:v>
      </x:c>
      <x:c r="V327" s="54" t="n">
        <x:v>46168</x:v>
      </x:c>
      <x:c r="W327" s="54" t="n">
        <x:v>46148</x:v>
      </x:c>
      <x:c r="X327" s="54" t="n">
        <x:v>46168</x:v>
      </x:c>
      <x:c r="Y327" s="78" t="n">
        <x:v>0</x:v>
      </x:c>
    </x:row>
    <x:row r="328" ht="21" customHeight="1">
      <x:c r="A328" t="str">
        <x:v>P10-A4</x:v>
      </x:c>
      <x:c r="B328" t="str">
        <x:v>P10</x:v>
      </x:c>
      <x:c r="C328" t="str">
        <x:v>PLC/HMI/SCADA Preliminary Design (30%)</x:v>
      </x:c>
      <x:c r="D328" t="str">
        <x:v>1.10.2.1</x:v>
      </x:c>
      <x:c r="E328" s="54" t="n">
        <x:v>46169</x:v>
      </x:c>
      <x:c r="F328" s="54" t="n">
        <x:v>46196</x:v>
      </x:c>
      <x:c r="G328" s="54"/>
      <x:c r="H328" s="54"/>
      <x:c r="I328" s="54"/>
      <x:c r="J328" s="54"/>
      <x:c r="K328" t="n">
        <x:v>20</x:v>
      </x:c>
      <x:c r="L328" t="str">
        <x:v>P10-A3</x:v>
      </x:c>
      <x:c r="M328"/>
      <x:c r="N328" s="21" t="b">
        <x:v>0</x:v>
      </x:c>
      <x:c r="O328" s="21" t="b">
        <x:v>1</x:v>
      </x:c>
      <x:c r="P328" t="str">
        <x:v>P10-CA02</x:v>
      </x:c>
      <x:c r="Q328" t="str">
        <x:v>P10-WP021</x:v>
      </x:c>
      <x:c r="R328" t="str">
        <x:v>Task</x:v>
      </x:c>
      <x:c r="S328" t="str">
        <x:v>Project-type realism</x:v>
      </x:c>
      <x:c r="T328" t="str">
        <x:v>Source-derived / reconstructed network | Scenario dates calculated from reconstructed logic, not source recovered</x:v>
      </x:c>
      <x:c r="U328" s="54" t="n">
        <x:v>46169</x:v>
      </x:c>
      <x:c r="V328" s="54" t="n">
        <x:v>46196</x:v>
      </x:c>
      <x:c r="W328" s="54" t="n">
        <x:v>46169</x:v>
      </x:c>
      <x:c r="X328" s="54" t="n">
        <x:v>46196</x:v>
      </x:c>
      <x:c r="Y328" s="78" t="n">
        <x:v>0</x:v>
      </x:c>
    </x:row>
    <x:row r="329" ht="21" customHeight="1">
      <x:c r="A329" t="str">
        <x:v>P10-A5</x:v>
      </x:c>
      <x:c r="B329" t="str">
        <x:v>P10</x:v>
      </x:c>
      <x:c r="C329" t="str">
        <x:v>Communications/Network Design</x:v>
      </x:c>
      <x:c r="D329" t="str">
        <x:v>1.10.2.2</x:v>
      </x:c>
      <x:c r="E329" s="54" t="n">
        <x:v>46183</x:v>
      </x:c>
      <x:c r="F329" s="54" t="n">
        <x:v>46203</x:v>
      </x:c>
      <x:c r="G329" s="54"/>
      <x:c r="H329" s="54"/>
      <x:c r="I329" s="54"/>
      <x:c r="J329" s="54"/>
      <x:c r="K329" t="n">
        <x:v>15</x:v>
      </x:c>
      <x:c r="L329" t="str">
        <x:v>P10-A4</x:v>
      </x:c>
      <x:c r="M329"/>
      <x:c r="N329" s="21" t="b">
        <x:v>0</x:v>
      </x:c>
      <x:c r="O329" s="21" t="b">
        <x:v>1</x:v>
      </x:c>
      <x:c r="P329" t="str">
        <x:v>P10-CA02</x:v>
      </x:c>
      <x:c r="Q329" t="str">
        <x:v>P10-WP022</x:v>
      </x:c>
      <x:c r="R329" t="str">
        <x:v>Task</x:v>
      </x:c>
      <x:c r="S329" t="str">
        <x:v>Project-type realism</x:v>
      </x:c>
      <x:c r="T329" t="str">
        <x:v>Source-derived / reconstructed network | Scenario dates calculated from reconstructed logic, not source recovered</x:v>
      </x:c>
      <x:c r="U329" s="54" t="n">
        <x:v>46183</x:v>
      </x:c>
      <x:c r="V329" s="54" t="n">
        <x:v>46203</x:v>
      </x:c>
      <x:c r="W329" s="54" t="n">
        <x:v>46183</x:v>
      </x:c>
      <x:c r="X329" s="54" t="n">
        <x:v>46203</x:v>
      </x:c>
      <x:c r="Y329" s="78" t="n">
        <x:v>0</x:v>
      </x:c>
    </x:row>
    <x:row r="330" ht="21" customHeight="1">
      <x:c r="A330" t="str">
        <x:v>P10-A6b</x:v>
      </x:c>
      <x:c r="B330" t="str">
        <x:v>P10</x:v>
      </x:c>
      <x:c r="C330" t="str">
        <x:v>Cybersecurity &amp; IT Coordination</x:v>
      </x:c>
      <x:c r="D330" t="str">
        <x:v>1.10.2.2</x:v>
      </x:c>
      <x:c r="E330" s="54" t="n">
        <x:v>46183</x:v>
      </x:c>
      <x:c r="F330" s="54" t="n">
        <x:v>46203</x:v>
      </x:c>
      <x:c r="G330" s="54"/>
      <x:c r="H330" s="54"/>
      <x:c r="I330" s="54"/>
      <x:c r="J330" s="54"/>
      <x:c r="K330" t="n">
        <x:v>15</x:v>
      </x:c>
      <x:c r="L330" t="str">
        <x:v>P10-A4</x:v>
      </x:c>
      <x:c r="M330"/>
      <x:c r="N330" s="21" t="b">
        <x:v>0</x:v>
      </x:c>
      <x:c r="O330" s="21" t="b">
        <x:v>1</x:v>
      </x:c>
      <x:c r="P330" t="str">
        <x:v>P10-CA02</x:v>
      </x:c>
      <x:c r="Q330" t="str">
        <x:v>P10-WP022</x:v>
      </x:c>
      <x:c r="R330" t="str">
        <x:v>Task</x:v>
      </x:c>
      <x:c r="S330" t="str">
        <x:v>Project-type realism</x:v>
      </x:c>
      <x:c r="T330" t="str">
        <x:v>Source-derived / reconstructed network | Scenario dates calculated from reconstructed logic, not source recovered</x:v>
      </x:c>
      <x:c r="U330" s="54" t="n">
        <x:v>46183</x:v>
      </x:c>
      <x:c r="V330" s="54" t="n">
        <x:v>46203</x:v>
      </x:c>
      <x:c r="W330" s="54" t="n">
        <x:v>46183</x:v>
      </x:c>
      <x:c r="X330" s="54" t="n">
        <x:v>46203</x:v>
      </x:c>
      <x:c r="Y330" s="78" t="n">
        <x:v>0</x:v>
      </x:c>
    </x:row>
    <x:row r="331" ht="21" customHeight="1">
      <x:c r="A331" t="str">
        <x:v>P10-A6</x:v>
      </x:c>
      <x:c r="B331" t="str">
        <x:v>P10</x:v>
      </x:c>
      <x:c r="C331" t="str">
        <x:v>Final Design (100%)</x:v>
      </x:c>
      <x:c r="D331" t="str">
        <x:v>1.10.2.2</x:v>
      </x:c>
      <x:c r="E331" s="54" t="n">
        <x:v>46197</x:v>
      </x:c>
      <x:c r="F331" s="54" t="n">
        <x:v>46224</x:v>
      </x:c>
      <x:c r="G331" s="54"/>
      <x:c r="H331" s="54"/>
      <x:c r="I331" s="54"/>
      <x:c r="J331" s="54"/>
      <x:c r="K331" t="n">
        <x:v>20</x:v>
      </x:c>
      <x:c r="L331" t="str">
        <x:v>P10-A5, P10-A6b</x:v>
      </x:c>
      <x:c r="M331"/>
      <x:c r="N331" s="21" t="b">
        <x:v>0</x:v>
      </x:c>
      <x:c r="O331" s="21" t="b">
        <x:v>1</x:v>
      </x:c>
      <x:c r="P331" t="str">
        <x:v>P10-CA02</x:v>
      </x:c>
      <x:c r="Q331" t="str">
        <x:v>P10-WP022</x:v>
      </x:c>
      <x:c r="R331" t="str">
        <x:v>Task</x:v>
      </x:c>
      <x:c r="S331" t="str">
        <x:v>Project-type realism</x:v>
      </x:c>
      <x:c r="T331" t="str">
        <x:v>BLOCKED: source-versus-reconstructed milestone/sequence inconsistency; see focused reconciliation QA report | Scenario dates calculated from reconstructed logic, not source recovered</x:v>
      </x:c>
      <x:c r="U331" s="54" t="n">
        <x:v>46197</x:v>
      </x:c>
      <x:c r="V331" s="54" t="n">
        <x:v>46224</x:v>
      </x:c>
      <x:c r="W331" s="54" t="n">
        <x:v>46197</x:v>
      </x:c>
      <x:c r="X331" s="54" t="n">
        <x:v>46224</x:v>
      </x:c>
      <x:c r="Y331" s="78" t="n">
        <x:v>0</x:v>
      </x:c>
    </x:row>
    <x:row r="332" ht="21" customHeight="1">
      <x:c r="A332" t="str">
        <x:v>P10-A7</x:v>
      </x:c>
      <x:c r="B332" t="str">
        <x:v>P10</x:v>
      </x:c>
      <x:c r="C332" t="str">
        <x:v>Bid Advertisement</x:v>
      </x:c>
      <x:c r="D332" t="str">
        <x:v>1.10.3.1</x:v>
      </x:c>
      <x:c r="E332" s="54" t="n">
        <x:v>46211</x:v>
      </x:c>
      <x:c r="F332" s="54" t="n">
        <x:v>46231</x:v>
      </x:c>
      <x:c r="G332" s="54"/>
      <x:c r="H332" s="54"/>
      <x:c r="I332" s="54"/>
      <x:c r="J332" s="54"/>
      <x:c r="K332" t="n">
        <x:v>15</x:v>
      </x:c>
      <x:c r="L332" t="str">
        <x:v>P10-A6</x:v>
      </x:c>
      <x:c r="M332"/>
      <x:c r="N332" s="21" t="b">
        <x:v>0</x:v>
      </x:c>
      <x:c r="O332" s="21" t="b">
        <x:v>1</x:v>
      </x:c>
      <x:c r="P332" t="str">
        <x:v>P10-CA03</x:v>
      </x:c>
      <x:c r="Q332" t="str">
        <x:v>P10-WP031</x:v>
      </x:c>
      <x:c r="R332" t="str">
        <x:v>Task</x:v>
      </x:c>
      <x:c r="S332" t="str">
        <x:v>Project-type realism</x:v>
      </x:c>
      <x:c r="T332" t="str">
        <x:v>Source-derived / reconstructed network | Scenario dates calculated from reconstructed logic, not source recovered</x:v>
      </x:c>
      <x:c r="U332" s="54" t="n">
        <x:v>46211</x:v>
      </x:c>
      <x:c r="V332" s="54" t="n">
        <x:v>46231</x:v>
      </x:c>
      <x:c r="W332" s="54" t="n">
        <x:v>46211</x:v>
      </x:c>
      <x:c r="X332" s="54" t="n">
        <x:v>46231</x:v>
      </x:c>
      <x:c r="Y332" s="78" t="n">
        <x:v>0</x:v>
      </x:c>
    </x:row>
    <x:row r="333" ht="21" customHeight="1">
      <x:c r="A333" t="str">
        <x:v>P10-M1</x:v>
      </x:c>
      <x:c r="B333" t="str">
        <x:v>P10</x:v>
      </x:c>
      <x:c r="C333" t="str">
        <x:v>Controls Design Approved</x:v>
      </x:c>
      <x:c r="D333" t="str">
        <x:v>1.10.4.1</x:v>
      </x:c>
      <x:c r="E333" s="54" t="n">
        <x:v>46224</x:v>
      </x:c>
      <x:c r="F333" s="54" t="n">
        <x:v>46224</x:v>
      </x:c>
      <x:c r="G333" s="54"/>
      <x:c r="H333" s="54"/>
      <x:c r="I333" s="54"/>
      <x:c r="J333" s="54"/>
      <x:c r="K333" t="n">
        <x:v>0</x:v>
      </x:c>
      <x:c r="L333" t="str">
        <x:v>P10-A6</x:v>
      </x:c>
      <x:c r="M333"/>
      <x:c r="N333" s="21" t="b">
        <x:v>1</x:v>
      </x:c>
      <x:c r="O333" s="21" t="b">
        <x:v>0</x:v>
      </x:c>
      <x:c r="P333" t="str">
        <x:v>P10-CA04</x:v>
      </x:c>
      <x:c r="Q333" t="str">
        <x:v>P10-WP041</x:v>
      </x:c>
      <x:c r="R333" t="str">
        <x:v>Milestone</x:v>
      </x:c>
      <x:c r="S333" t="str">
        <x:v>Approved milestone / interface milestone</x:v>
      </x:c>
      <x:c r="T333" t="str">
        <x:v>BLOCKED: source-versus-reconstructed milestone/sequence inconsistency; see focused reconciliation QA report | Scenario dates calculated from reconstructed logic, not source recovered</x:v>
      </x:c>
      <x:c r="U333" s="54" t="n">
        <x:v>46224</x:v>
      </x:c>
      <x:c r="V333" s="54" t="n">
        <x:v>46224</x:v>
      </x:c>
      <x:c r="W333" s="54" t="n">
        <x:v>46343</x:v>
      </x:c>
      <x:c r="X333" s="54" t="n">
        <x:v>46343</x:v>
      </x:c>
      <x:c r="Y333" s="78" t="n">
        <x:v>85</x:v>
      </x:c>
    </x:row>
    <x:row r="334" ht="21" customHeight="1">
      <x:c r="A334" t="str">
        <x:v>P10-IF-01</x:v>
      </x:c>
      <x:c r="B334" t="str">
        <x:v>P10</x:v>
      </x:c>
      <x:c r="C334" t="str">
        <x:v>Final I/O Mapping &amp; Tag Reconciliation</x:v>
      </x:c>
      <x:c r="D334" t="str">
        <x:v>1.10.4.1</x:v>
      </x:c>
      <x:c r="E334" s="54" t="n">
        <x:v>46225</x:v>
      </x:c>
      <x:c r="F334" s="54" t="n">
        <x:v>46238</x:v>
      </x:c>
      <x:c r="G334" s="54"/>
      <x:c r="H334" s="54"/>
      <x:c r="I334" s="54"/>
      <x:c r="J334" s="54"/>
      <x:c r="K334" t="n">
        <x:v>10</x:v>
      </x:c>
      <x:c r="L334" t="str">
        <x:v>P03-I-P03-02, P08-I-P08-02, P10-M1</x:v>
      </x:c>
      <x:c r="M334"/>
      <x:c r="N334" s="21" t="b">
        <x:v>0</x:v>
      </x:c>
      <x:c r="O334" s="21" t="b">
        <x:v>0</x:v>
      </x:c>
      <x:c r="P334" t="str">
        <x:v>P10-CA04</x:v>
      </x:c>
      <x:c r="Q334" t="str">
        <x:v>P10-WP041</x:v>
      </x:c>
      <x:c r="R334" t="str">
        <x:v>Task</x:v>
      </x:c>
      <x:c r="S334" t="str">
        <x:v>Approved synthetic project-specific planning assumption</x:v>
      </x:c>
      <x:c r="T334" t="str">
        <x:v>ID normalized to approved interface naming convention | Scenario dates calculated from reconstructed logic, not source recovered</x:v>
      </x:c>
      <x:c r="U334" s="54" t="n">
        <x:v>46225</x:v>
      </x:c>
      <x:c r="V334" s="54" t="n">
        <x:v>46238</x:v>
      </x:c>
      <x:c r="W334" s="54" t="n">
        <x:v>46344</x:v>
      </x:c>
      <x:c r="X334" s="54" t="n">
        <x:v>46357</x:v>
      </x:c>
      <x:c r="Y334" s="78" t="n">
        <x:v>85</x:v>
      </x:c>
    </x:row>
    <x:row r="335" ht="21" customHeight="1">
      <x:c r="A335" t="str">
        <x:v>P10-MIF01</x:v>
      </x:c>
      <x:c r="B335" t="str">
        <x:v>P10</x:v>
      </x:c>
      <x:c r="C335" t="str">
        <x:v>Final I/O Mapping Complete</x:v>
      </x:c>
      <x:c r="D335" t="str">
        <x:v>1.10.4.1</x:v>
      </x:c>
      <x:c r="E335" s="54" t="n">
        <x:v>46238</x:v>
      </x:c>
      <x:c r="F335" s="54" t="n">
        <x:v>46238</x:v>
      </x:c>
      <x:c r="G335" s="54"/>
      <x:c r="H335" s="54"/>
      <x:c r="I335" s="54"/>
      <x:c r="J335" s="54"/>
      <x:c r="K335" t="n">
        <x:v>0</x:v>
      </x:c>
      <x:c r="L335" t="str">
        <x:v>P10-IF-01</x:v>
      </x:c>
      <x:c r="M335"/>
      <x:c r="N335" s="21" t="b">
        <x:v>1</x:v>
      </x:c>
      <x:c r="O335" s="21" t="b">
        <x:v>0</x:v>
      </x:c>
      <x:c r="P335" t="str">
        <x:v>P10-CA04</x:v>
      </x:c>
      <x:c r="Q335" t="str">
        <x:v>P10-WP041</x:v>
      </x:c>
      <x:c r="R335" t="str">
        <x:v>Milestone</x:v>
      </x:c>
      <x:c r="S335" t="str">
        <x:v>Approved milestone / interface milestone</x:v>
      </x:c>
      <x:c r="T335" t="str">
        <x:v>ID normalized to approved interface naming convention | Scenario dates calculated from reconstructed logic, not source recovered</x:v>
      </x:c>
      <x:c r="U335" s="54" t="n">
        <x:v>46238</x:v>
      </x:c>
      <x:c r="V335" s="54" t="n">
        <x:v>46238</x:v>
      </x:c>
      <x:c r="W335" s="54" t="n">
        <x:v>46357</x:v>
      </x:c>
      <x:c r="X335" s="54" t="n">
        <x:v>46357</x:v>
      </x:c>
      <x:c r="Y335" s="78" t="n">
        <x:v>85</x:v>
      </x:c>
    </x:row>
    <x:row r="336" ht="21" customHeight="1">
      <x:c r="A336" t="str">
        <x:v>P10-A7b</x:v>
      </x:c>
      <x:c r="B336" t="str">
        <x:v>P10</x:v>
      </x:c>
      <x:c r="C336" t="str">
        <x:v>Evaluation &amp; Award</x:v>
      </x:c>
      <x:c r="D336" t="str">
        <x:v>1.10.3.1</x:v>
      </x:c>
      <x:c r="E336" s="54" t="n">
        <x:v>46232</x:v>
      </x:c>
      <x:c r="F336" s="54" t="n">
        <x:v>46245</x:v>
      </x:c>
      <x:c r="G336" s="54"/>
      <x:c r="H336" s="54"/>
      <x:c r="I336" s="54"/>
      <x:c r="J336" s="54"/>
      <x:c r="K336" t="n">
        <x:v>10</x:v>
      </x:c>
      <x:c r="L336" t="str">
        <x:v>P10-A7</x:v>
      </x:c>
      <x:c r="M336"/>
      <x:c r="N336" s="21" t="b">
        <x:v>0</x:v>
      </x:c>
      <x:c r="O336" s="21" t="b">
        <x:v>1</x:v>
      </x:c>
      <x:c r="P336" t="str">
        <x:v>P10-CA03</x:v>
      </x:c>
      <x:c r="Q336" t="str">
        <x:v>P10-WP031</x:v>
      </x:c>
      <x:c r="R336" t="str">
        <x:v>Task</x:v>
      </x:c>
      <x:c r="S336" t="str">
        <x:v>Project-type realism</x:v>
      </x:c>
      <x:c r="T336" t="str">
        <x:v>Source-derived / reconstructed network | Scenario dates calculated from reconstructed logic, not source recovered</x:v>
      </x:c>
      <x:c r="U336" s="54" t="n">
        <x:v>46232</x:v>
      </x:c>
      <x:c r="V336" s="54" t="n">
        <x:v>46245</x:v>
      </x:c>
      <x:c r="W336" s="54" t="n">
        <x:v>46232</x:v>
      </x:c>
      <x:c r="X336" s="54" t="n">
        <x:v>46245</x:v>
      </x:c>
      <x:c r="Y336" s="78" t="n">
        <x:v>0</x:v>
      </x:c>
    </x:row>
    <x:row r="337" ht="21" customHeight="1">
      <x:c r="A337" t="str">
        <x:v>P10-A7c</x:v>
      </x:c>
      <x:c r="B337" t="str">
        <x:v>P10</x:v>
      </x:c>
      <x:c r="C337" t="str">
        <x:v>Governing Body Approval</x:v>
      </x:c>
      <x:c r="D337" t="str">
        <x:v>1.10.3.2</x:v>
      </x:c>
      <x:c r="E337" s="54" t="n">
        <x:v>46246</x:v>
      </x:c>
      <x:c r="F337" s="54" t="n">
        <x:v>46259</x:v>
      </x:c>
      <x:c r="G337" s="54"/>
      <x:c r="H337" s="54"/>
      <x:c r="I337" s="54"/>
      <x:c r="J337" s="54"/>
      <x:c r="K337" t="n">
        <x:v>10</x:v>
      </x:c>
      <x:c r="L337" t="str">
        <x:v>P10-A7b</x:v>
      </x:c>
      <x:c r="M337"/>
      <x:c r="N337" s="21" t="b">
        <x:v>0</x:v>
      </x:c>
      <x:c r="O337" s="21" t="b">
        <x:v>1</x:v>
      </x:c>
      <x:c r="P337" t="str">
        <x:v>P10-CA03</x:v>
      </x:c>
      <x:c r="Q337" t="str">
        <x:v>P10-WP032</x:v>
      </x:c>
      <x:c r="R337" t="str">
        <x:v>Task</x:v>
      </x:c>
      <x:c r="S337" t="str">
        <x:v>Project-type realism</x:v>
      </x:c>
      <x:c r="T337" t="str">
        <x:v>Source-derived / reconstructed network | Scenario dates calculated from reconstructed logic, not source recovered</x:v>
      </x:c>
      <x:c r="U337" s="54" t="n">
        <x:v>46246</x:v>
      </x:c>
      <x:c r="V337" s="54" t="n">
        <x:v>46259</x:v>
      </x:c>
      <x:c r="W337" s="54" t="n">
        <x:v>46246</x:v>
      </x:c>
      <x:c r="X337" s="54" t="n">
        <x:v>46259</x:v>
      </x:c>
      <x:c r="Y337" s="78" t="n">
        <x:v>0</x:v>
      </x:c>
    </x:row>
    <x:row r="338" ht="21" customHeight="1">
      <x:c r="A338" t="str">
        <x:v>P10-M2</x:v>
      </x:c>
      <x:c r="B338" t="str">
        <x:v>P10</x:v>
      </x:c>
      <x:c r="C338" t="str">
        <x:v>Contract Award / NTP</x:v>
      </x:c>
      <x:c r="D338" t="str">
        <x:v>1.10.4.1</x:v>
      </x:c>
      <x:c r="E338" s="54" t="n">
        <x:v>46259</x:v>
      </x:c>
      <x:c r="F338" s="54" t="n">
        <x:v>46259</x:v>
      </x:c>
      <x:c r="G338" s="54"/>
      <x:c r="H338" s="54"/>
      <x:c r="I338" s="54"/>
      <x:c r="J338" s="54"/>
      <x:c r="K338" t="n">
        <x:v>0</x:v>
      </x:c>
      <x:c r="L338" t="str">
        <x:v>P10-A7c</x:v>
      </x:c>
      <x:c r="M338"/>
      <x:c r="N338" s="21" t="b">
        <x:v>1</x:v>
      </x:c>
      <x:c r="O338" s="21" t="b">
        <x:v>1</x:v>
      </x:c>
      <x:c r="P338" t="str">
        <x:v>P10-CA04</x:v>
      </x:c>
      <x:c r="Q338" t="str">
        <x:v>P10-WP041</x:v>
      </x:c>
      <x:c r="R338" t="str">
        <x:v>Milestone</x:v>
      </x:c>
      <x:c r="S338" t="str">
        <x:v>Approved milestone / interface milestone</x:v>
      </x:c>
      <x:c r="T338" t="str">
        <x:v>Source-explicit milestone date | Scenario dates calculated from reconstructed logic, not source recovered</x:v>
      </x:c>
      <x:c r="U338" s="54" t="n">
        <x:v>46259</x:v>
      </x:c>
      <x:c r="V338" s="54" t="n">
        <x:v>46259</x:v>
      </x:c>
      <x:c r="W338" s="54" t="n">
        <x:v>46259</x:v>
      </x:c>
      <x:c r="X338" s="54" t="n">
        <x:v>46259</x:v>
      </x:c>
      <x:c r="Y338" s="78" t="n">
        <x:v>0</x:v>
      </x:c>
    </x:row>
    <x:row r="339" ht="21" customHeight="1">
      <x:c r="A339" t="str">
        <x:v>P10-A11</x:v>
      </x:c>
      <x:c r="B339" t="str">
        <x:v>P10</x:v>
      </x:c>
      <x:c r="C339" t="str">
        <x:v>SCADA Software Licensing &amp; Base System Procurement</x:v>
      </x:c>
      <x:c r="D339" t="str">
        <x:v>1.10.4.2</x:v>
      </x:c>
      <x:c r="E339" s="54" t="n">
        <x:v>46260</x:v>
      </x:c>
      <x:c r="F339" s="54" t="n">
        <x:v>46280</x:v>
      </x:c>
      <x:c r="G339" s="54"/>
      <x:c r="H339" s="54"/>
      <x:c r="I339" s="54"/>
      <x:c r="J339" s="54"/>
      <x:c r="K339" t="n">
        <x:v>15</x:v>
      </x:c>
      <x:c r="L339" t="str">
        <x:v>P10-M2</x:v>
      </x:c>
      <x:c r="M339"/>
      <x:c r="N339" s="21" t="b">
        <x:v>0</x:v>
      </x:c>
      <x:c r="O339" s="21" t="b">
        <x:v>0</x:v>
      </x:c>
      <x:c r="P339" t="str">
        <x:v>P10-CA04</x:v>
      </x:c>
      <x:c r="Q339" t="str">
        <x:v>P10-WP042</x:v>
      </x:c>
      <x:c r="R339" t="str">
        <x:v>Task</x:v>
      </x:c>
      <x:c r="S339" t="str">
        <x:v>Synthetic project assumption</x:v>
      </x:c>
      <x:c r="T339" t="str">
        <x:v>Source-derived / reconstructed network | Scenario dates calculated from reconstructed logic, not source recovered</x:v>
      </x:c>
      <x:c r="U339" s="54" t="n">
        <x:v>46260</x:v>
      </x:c>
      <x:c r="V339" s="54" t="n">
        <x:v>46280</x:v>
      </x:c>
      <x:c r="W339" s="54" t="n">
        <x:v>46587</x:v>
      </x:c>
      <x:c r="X339" s="54" t="n">
        <x:v>46605</x:v>
      </x:c>
      <x:c r="Y339" s="78" t="n">
        <x:v>233</x:v>
      </x:c>
    </x:row>
    <x:row r="340" ht="21" customHeight="1">
      <x:c r="A340" t="str">
        <x:v>P10-A14</x:v>
      </x:c>
      <x:c r="B340" t="str">
        <x:v>P10</x:v>
      </x:c>
      <x:c r="C340" t="str">
        <x:v>PLC Programming / Configuration</x:v>
      </x:c>
      <x:c r="D340" t="str">
        <x:v>1.10.4.1</x:v>
      </x:c>
      <x:c r="E340" s="54" t="n">
        <x:v>46260</x:v>
      </x:c>
      <x:c r="F340" s="54" t="n">
        <x:v>46301</x:v>
      </x:c>
      <x:c r="G340" s="54"/>
      <x:c r="H340" s="54"/>
      <x:c r="I340" s="54"/>
      <x:c r="J340" s="54"/>
      <x:c r="K340" t="n">
        <x:v>30</x:v>
      </x:c>
      <x:c r="L340" t="str">
        <x:v>P10-M2</x:v>
      </x:c>
      <x:c r="M340"/>
      <x:c r="N340" s="21" t="b">
        <x:v>0</x:v>
      </x:c>
      <x:c r="O340" s="21" t="b">
        <x:v>0</x:v>
      </x:c>
      <x:c r="P340" t="str">
        <x:v>P10-CA04</x:v>
      </x:c>
      <x:c r="Q340" t="str">
        <x:v>P10-WP041</x:v>
      </x:c>
      <x:c r="R340" t="str">
        <x:v>Task</x:v>
      </x:c>
      <x:c r="S340" t="str">
        <x:v>Project-type realism</x:v>
      </x:c>
      <x:c r="T340" t="str">
        <x:v>Source-derived / reconstructed network | Scenario dates calculated from reconstructed logic, not source recovered</x:v>
      </x:c>
      <x:c r="U340" s="54" t="n">
        <x:v>46260</x:v>
      </x:c>
      <x:c r="V340" s="54" t="n">
        <x:v>46301</x:v>
      </x:c>
      <x:c r="W340" s="54" t="n">
        <x:v>46316</x:v>
      </x:c>
      <x:c r="X340" s="54" t="n">
        <x:v>46357</x:v>
      </x:c>
      <x:c r="Y340" s="78" t="n">
        <x:v>40</x:v>
      </x:c>
    </x:row>
    <x:row r="341" ht="21" customHeight="1">
      <x:c r="A341" t="str">
        <x:v>P10-A15</x:v>
      </x:c>
      <x:c r="B341" t="str">
        <x:v>P10</x:v>
      </x:c>
      <x:c r="C341" t="str">
        <x:v>HMI Screen Development &amp; SCADA Software Configuration</x:v>
      </x:c>
      <x:c r="D341" t="str">
        <x:v>1.10.4.2</x:v>
      </x:c>
      <x:c r="E341" s="54" t="n">
        <x:v>46260</x:v>
      </x:c>
      <x:c r="F341" s="54" t="n">
        <x:v>46294</x:v>
      </x:c>
      <x:c r="G341" s="54"/>
      <x:c r="H341" s="54"/>
      <x:c r="I341" s="54"/>
      <x:c r="J341" s="54"/>
      <x:c r="K341" t="n">
        <x:v>25</x:v>
      </x:c>
      <x:c r="L341" t="str">
        <x:v>P10-M2</x:v>
      </x:c>
      <x:c r="M341"/>
      <x:c r="N341" s="21" t="b">
        <x:v>0</x:v>
      </x:c>
      <x:c r="O341" s="21" t="b">
        <x:v>0</x:v>
      </x:c>
      <x:c r="P341" t="str">
        <x:v>P10-CA04</x:v>
      </x:c>
      <x:c r="Q341" t="str">
        <x:v>P10-WP042</x:v>
      </x:c>
      <x:c r="R341" t="str">
        <x:v>Task</x:v>
      </x:c>
      <x:c r="S341" t="str">
        <x:v>Project-type realism</x:v>
      </x:c>
      <x:c r="T341" t="str">
        <x:v>Source-derived / reconstructed network | Scenario dates calculated from reconstructed logic, not source recovered</x:v>
      </x:c>
      <x:c r="U341" s="54" t="n">
        <x:v>46260</x:v>
      </x:c>
      <x:c r="V341" s="54" t="n">
        <x:v>46294</x:v>
      </x:c>
      <x:c r="W341" s="54" t="n">
        <x:v>46323</x:v>
      </x:c>
      <x:c r="X341" s="54" t="n">
        <x:v>46357</x:v>
      </x:c>
      <x:c r="Y341" s="78" t="n">
        <x:v>45</x:v>
      </x:c>
    </x:row>
    <x:row r="342" ht="21" customHeight="1">
      <x:c r="A342" t="str">
        <x:v>P10-A8</x:v>
      </x:c>
      <x:c r="B342" t="str">
        <x:v>P10</x:v>
      </x:c>
      <x:c r="C342" t="str">
        <x:v>Contractor/Integrator Mobilization</x:v>
      </x:c>
      <x:c r="D342" t="str">
        <x:v>1.10.3.2</x:v>
      </x:c>
      <x:c r="E342" s="54" t="n">
        <x:v>46260</x:v>
      </x:c>
      <x:c r="F342" s="54" t="n">
        <x:v>46273</x:v>
      </x:c>
      <x:c r="G342" s="54"/>
      <x:c r="H342" s="54"/>
      <x:c r="I342" s="54"/>
      <x:c r="J342" s="54"/>
      <x:c r="K342" t="n">
        <x:v>10</x:v>
      </x:c>
      <x:c r="L342" t="str">
        <x:v>P10-M2</x:v>
      </x:c>
      <x:c r="M342"/>
      <x:c r="N342" s="21" t="b">
        <x:v>0</x:v>
      </x:c>
      <x:c r="O342" s="21" t="b">
        <x:v>0</x:v>
      </x:c>
      <x:c r="P342" t="str">
        <x:v>P10-CA03</x:v>
      </x:c>
      <x:c r="Q342" t="str">
        <x:v>P10-WP032</x:v>
      </x:c>
      <x:c r="R342" t="str">
        <x:v>Task</x:v>
      </x:c>
      <x:c r="S342" t="str">
        <x:v>Project-type realism</x:v>
      </x:c>
      <x:c r="T342" t="str">
        <x:v>Source-derived / reconstructed network | Scenario dates calculated from reconstructed logic, not source recovered</x:v>
      </x:c>
      <x:c r="U342" s="54" t="n">
        <x:v>46260</x:v>
      </x:c>
      <x:c r="V342" s="54" t="n">
        <x:v>46273</x:v>
      </x:c>
      <x:c r="W342" s="54" t="n">
        <x:v>46377</x:v>
      </x:c>
      <x:c r="X342" s="54" t="n">
        <x:v>46388</x:v>
      </x:c>
      <x:c r="Y342" s="78" t="n">
        <x:v>83</x:v>
      </x:c>
    </x:row>
    <x:row r="343" ht="21" customHeight="1">
      <x:c r="A343" t="str">
        <x:v>P10-A9</x:v>
      </x:c>
      <x:c r="B343" t="str">
        <x:v>P10</x:v>
      </x:c>
      <x:c r="C343" t="str">
        <x:v>PLC/HMI/Network Hardware Submittal Review</x:v>
      </x:c>
      <x:c r="D343" t="str">
        <x:v>1.10.3.1</x:v>
      </x:c>
      <x:c r="E343" s="54" t="n">
        <x:v>46260</x:v>
      </x:c>
      <x:c r="F343" s="54" t="n">
        <x:v>46280</x:v>
      </x:c>
      <x:c r="G343" s="54"/>
      <x:c r="H343" s="54"/>
      <x:c r="I343" s="54"/>
      <x:c r="J343" s="54"/>
      <x:c r="K343" t="n">
        <x:v>15</x:v>
      </x:c>
      <x:c r="L343" t="str">
        <x:v>P10-M2</x:v>
      </x:c>
      <x:c r="M343"/>
      <x:c r="N343" s="21" t="b">
        <x:v>0</x:v>
      </x:c>
      <x:c r="O343" s="21" t="b">
        <x:v>1</x:v>
      </x:c>
      <x:c r="P343" t="str">
        <x:v>P10-CA03</x:v>
      </x:c>
      <x:c r="Q343" t="str">
        <x:v>P10-WP031</x:v>
      </x:c>
      <x:c r="R343" t="str">
        <x:v>Task</x:v>
      </x:c>
      <x:c r="S343" t="str">
        <x:v>Project-type realism</x:v>
      </x:c>
      <x:c r="T343" t="str">
        <x:v>Source-derived / reconstructed network | Scenario dates calculated from reconstructed logic, not source recovered</x:v>
      </x:c>
      <x:c r="U343" s="54" t="n">
        <x:v>46260</x:v>
      </x:c>
      <x:c r="V343" s="54" t="n">
        <x:v>46280</x:v>
      </x:c>
      <x:c r="W343" s="54" t="n">
        <x:v>46260</x:v>
      </x:c>
      <x:c r="X343" s="54" t="n">
        <x:v>46280</x:v>
      </x:c>
      <x:c r="Y343" s="78" t="n">
        <x:v>0</x:v>
      </x:c>
    </x:row>
    <x:row r="344" ht="21" customHeight="1">
      <x:c r="A344" t="str">
        <x:v>P10-A10</x:v>
      </x:c>
      <x:c r="B344" t="str">
        <x:v>P10</x:v>
      </x:c>
      <x:c r="C344" t="str">
        <x:v>Hardware Procurement &amp; Delivery</x:v>
      </x:c>
      <x:c r="D344" t="str">
        <x:v>1.10.4.3</x:v>
      </x:c>
      <x:c r="E344" s="54" t="n">
        <x:v>46281</x:v>
      </x:c>
      <x:c r="F344" s="54" t="n">
        <x:v>46322</x:v>
      </x:c>
      <x:c r="G344" s="54"/>
      <x:c r="H344" s="54"/>
      <x:c r="I344" s="54"/>
      <x:c r="J344" s="54"/>
      <x:c r="K344" t="n">
        <x:v>30</x:v>
      </x:c>
      <x:c r="L344" t="str">
        <x:v>P10-A9</x:v>
      </x:c>
      <x:c r="M344"/>
      <x:c r="N344" s="21" t="b">
        <x:v>0</x:v>
      </x:c>
      <x:c r="O344" s="21" t="b">
        <x:v>1</x:v>
      </x:c>
      <x:c r="P344" t="str">
        <x:v>P10-CA04</x:v>
      </x:c>
      <x:c r="Q344" t="str">
        <x:v>P10-WP043</x:v>
      </x:c>
      <x:c r="R344" t="str">
        <x:v>Task</x:v>
      </x:c>
      <x:c r="S344" t="str">
        <x:v>Synthetic, industry-informed planning assumption</x:v>
      </x:c>
      <x:c r="T344" t="str">
        <x:v>Source-derived / reconstructed network | Scenario dates calculated from reconstructed logic, not source recovered</x:v>
      </x:c>
      <x:c r="U344" s="54" t="n">
        <x:v>46281</x:v>
      </x:c>
      <x:c r="V344" s="54" t="n">
        <x:v>46322</x:v>
      </x:c>
      <x:c r="W344" s="54" t="n">
        <x:v>46281</x:v>
      </x:c>
      <x:c r="X344" s="54" t="n">
        <x:v>46322</x:v>
      </x:c>
      <x:c r="Y344" s="78" t="n">
        <x:v>0</x:v>
      </x:c>
    </x:row>
    <x:row r="345" ht="21" customHeight="1">
      <x:c r="A345" t="str">
        <x:v>P10-MIF02</x:v>
      </x:c>
      <x:c r="B345" t="str">
        <x:v>P10</x:v>
      </x:c>
      <x:c r="C345" t="str">
        <x:v>Integration Configuration Complete</x:v>
      </x:c>
      <x:c r="D345" t="str">
        <x:v>1.10.4.1</x:v>
      </x:c>
      <x:c r="E345" s="54" t="n">
        <x:v>46301</x:v>
      </x:c>
      <x:c r="F345" s="54" t="n">
        <x:v>46301</x:v>
      </x:c>
      <x:c r="G345" s="54"/>
      <x:c r="H345" s="54"/>
      <x:c r="I345" s="54"/>
      <x:c r="J345" s="54"/>
      <x:c r="K345" t="n">
        <x:v>0</x:v>
      </x:c>
      <x:c r="L345" t="str">
        <x:v>P10-MIF01, P10-A14, P10-A15</x:v>
      </x:c>
      <x:c r="M345"/>
      <x:c r="N345" s="21" t="b">
        <x:v>1</x:v>
      </x:c>
      <x:c r="O345" s="21" t="b">
        <x:v>0</x:v>
      </x:c>
      <x:c r="P345" t="str">
        <x:v>P10-CA04</x:v>
      </x:c>
      <x:c r="Q345" t="str">
        <x:v>P10-WP041</x:v>
      </x:c>
      <x:c r="R345" t="str">
        <x:v>Milestone</x:v>
      </x:c>
      <x:c r="S345" t="str">
        <x:v>Approved milestone / interface milestone</x:v>
      </x:c>
      <x:c r="T345" t="str">
        <x:v>ID normalized to approved interface naming convention | Scenario dates calculated from reconstructed logic, not source recovered</x:v>
      </x:c>
      <x:c r="U345" s="54" t="n">
        <x:v>46301</x:v>
      </x:c>
      <x:c r="V345" s="54" t="n">
        <x:v>46301</x:v>
      </x:c>
      <x:c r="W345" s="54" t="n">
        <x:v>46357</x:v>
      </x:c>
      <x:c r="X345" s="54" t="n">
        <x:v>46357</x:v>
      </x:c>
      <x:c r="Y345" s="78" t="n">
        <x:v>40</x:v>
      </x:c>
    </x:row>
    <x:row r="346" ht="21" customHeight="1">
      <x:c r="A346" t="str">
        <x:v>P10-A12</x:v>
      </x:c>
      <x:c r="B346" t="str">
        <x:v>P10</x:v>
      </x:c>
      <x:c r="C346" t="str">
        <x:v>Control Panel Fabrication &amp; Shop Assembly</x:v>
      </x:c>
      <x:c r="D346" t="str">
        <x:v>1.10.4.3</x:v>
      </x:c>
      <x:c r="E346" s="54" t="n">
        <x:v>46323</x:v>
      </x:c>
      <x:c r="F346" s="54" t="n">
        <x:v>46357</x:v>
      </x:c>
      <x:c r="G346" s="54"/>
      <x:c r="H346" s="54"/>
      <x:c r="I346" s="54"/>
      <x:c r="J346" s="54"/>
      <x:c r="K346" t="n">
        <x:v>25</x:v>
      </x:c>
      <x:c r="L346" t="str">
        <x:v>P10-A10</x:v>
      </x:c>
      <x:c r="M346"/>
      <x:c r="N346" s="21" t="b">
        <x:v>0</x:v>
      </x:c>
      <x:c r="O346" s="21" t="b">
        <x:v>1</x:v>
      </x:c>
      <x:c r="P346" t="str">
        <x:v>P10-CA04</x:v>
      </x:c>
      <x:c r="Q346" t="str">
        <x:v>P10-WP043</x:v>
      </x:c>
      <x:c r="R346" t="str">
        <x:v>Task</x:v>
      </x:c>
      <x:c r="S346" t="str">
        <x:v>Synthetic project assumption</x:v>
      </x:c>
      <x:c r="T346" t="str">
        <x:v>Source-derived / reconstructed network | Scenario dates calculated from reconstructed logic, not source recovered</x:v>
      </x:c>
      <x:c r="U346" s="54" t="n">
        <x:v>46323</x:v>
      </x:c>
      <x:c r="V346" s="54" t="n">
        <x:v>46357</x:v>
      </x:c>
      <x:c r="W346" s="54" t="n">
        <x:v>46323</x:v>
      </x:c>
      <x:c r="X346" s="54" t="n">
        <x:v>46357</x:v>
      </x:c>
      <x:c r="Y346" s="78" t="n">
        <x:v>0</x:v>
      </x:c>
    </x:row>
    <x:row r="347" ht="21" customHeight="1">
      <x:c r="A347" t="str">
        <x:v>P10-A13</x:v>
      </x:c>
      <x:c r="B347" t="str">
        <x:v>P10</x:v>
      </x:c>
      <x:c r="C347" t="str">
        <x:v>FAT / Bench Test</x:v>
      </x:c>
      <x:c r="D347" t="str">
        <x:v>1.10.5.1</x:v>
      </x:c>
      <x:c r="E347" s="54" t="n">
        <x:v>46358</x:v>
      </x:c>
      <x:c r="F347" s="54" t="n">
        <x:v>46378</x:v>
      </x:c>
      <x:c r="G347" s="54"/>
      <x:c r="H347" s="54"/>
      <x:c r="I347" s="54"/>
      <x:c r="J347" s="54"/>
      <x:c r="K347" t="n">
        <x:v>15</x:v>
      </x:c>
      <x:c r="L347" t="str">
        <x:v>P10-A12, P10-A14, P10-A15, P10-MIF02</x:v>
      </x:c>
      <x:c r="M347"/>
      <x:c r="N347" s="21" t="b">
        <x:v>0</x:v>
      </x:c>
      <x:c r="O347" s="21" t="b">
        <x:v>1</x:v>
      </x:c>
      <x:c r="P347" t="str">
        <x:v>P10-CA05</x:v>
      </x:c>
      <x:c r="Q347" t="str">
        <x:v>P10-WP051</x:v>
      </x:c>
      <x:c r="R347" t="str">
        <x:v>Task</x:v>
      </x:c>
      <x:c r="S347" t="str">
        <x:v>Synthetic project-specific planning assumption</x:v>
      </x:c>
      <x:c r="T347" t="str">
        <x:v>Semantic WBS mapping corrected: FAT/bench test is testing &amp; commissioning | Scenario dates calculated from reconstructed logic, not source recovered</x:v>
      </x:c>
      <x:c r="U347" s="54" t="n">
        <x:v>46358</x:v>
      </x:c>
      <x:c r="V347" s="54" t="n">
        <x:v>46378</x:v>
      </x:c>
      <x:c r="W347" s="54" t="n">
        <x:v>46358</x:v>
      </x:c>
      <x:c r="X347" s="54" t="n">
        <x:v>46378</x:v>
      </x:c>
      <x:c r="Y347" s="78" t="n">
        <x:v>0</x:v>
      </x:c>
    </x:row>
    <x:row r="348" ht="21" customHeight="1">
      <x:c r="A348" t="str">
        <x:v>P10-MFAT</x:v>
      </x:c>
      <x:c r="B348" t="str">
        <x:v>P10</x:v>
      </x:c>
      <x:c r="C348" t="str">
        <x:v>MFAT</x:v>
      </x:c>
      <x:c r="D348" t="str">
        <x:v>1.10.5.1</x:v>
      </x:c>
      <x:c r="E348" s="54" t="n">
        <x:v>46378</x:v>
      </x:c>
      <x:c r="F348" s="54" t="n">
        <x:v>46378</x:v>
      </x:c>
      <x:c r="G348" s="54"/>
      <x:c r="H348" s="54"/>
      <x:c r="I348" s="54"/>
      <x:c r="J348" s="54"/>
      <x:c r="K348" t="n">
        <x:v>0</x:v>
      </x:c>
      <x:c r="L348" t="str">
        <x:v>P10-A13</x:v>
      </x:c>
      <x:c r="M348"/>
      <x:c r="N348" s="21" t="b">
        <x:v>1</x:v>
      </x:c>
      <x:c r="O348" s="21" t="b">
        <x:v>0</x:v>
      </x:c>
      <x:c r="P348" t="str">
        <x:v>P10-CA05</x:v>
      </x:c>
      <x:c r="Q348" t="str">
        <x:v>P10-WP051</x:v>
      </x:c>
      <x:c r="R348" t="str">
        <x:v>Milestone</x:v>
      </x:c>
      <x:c r="S348" t="str">
        <x:v>Approved milestone / interface milestone</x:v>
      </x:c>
      <x:c r="T348" t="str">
        <x:v>Semantic WBS mapping corrected: FAT completion milestone | Scenario dates calculated from reconstructed logic, not source recovered</x:v>
      </x:c>
      <x:c r="U348" s="54" t="n">
        <x:v>46378</x:v>
      </x:c>
      <x:c r="V348" s="54" t="n">
        <x:v>46378</x:v>
      </x:c>
      <x:c r="W348" s="54" t="n">
        <x:v>46605</x:v>
      </x:c>
      <x:c r="X348" s="54" t="n">
        <x:v>46605</x:v>
      </x:c>
      <x:c r="Y348" s="78" t="n">
        <x:v>163</x:v>
      </x:c>
    </x:row>
    <x:row r="349" ht="21" customHeight="1">
      <x:c r="A349" t="str">
        <x:v>P10-A16</x:v>
      </x:c>
      <x:c r="B349" t="str">
        <x:v>P10</x:v>
      </x:c>
      <x:c r="C349" t="str">
        <x:v>Delivery &amp; Receiving — Panels/Network Equipment</x:v>
      </x:c>
      <x:c r="D349" t="str">
        <x:v>1.10.4.3</x:v>
      </x:c>
      <x:c r="E349" s="54" t="n">
        <x:v>46379</x:v>
      </x:c>
      <x:c r="F349" s="54" t="n">
        <x:v>46388</x:v>
      </x:c>
      <x:c r="G349" s="54"/>
      <x:c r="H349" s="54"/>
      <x:c r="I349" s="54"/>
      <x:c r="J349" s="54"/>
      <x:c r="K349" t="n">
        <x:v>8</x:v>
      </x:c>
      <x:c r="L349" t="str">
        <x:v>P10-A13</x:v>
      </x:c>
      <x:c r="M349"/>
      <x:c r="N349" s="21" t="b">
        <x:v>0</x:v>
      </x:c>
      <x:c r="O349" s="21" t="b">
        <x:v>1</x:v>
      </x:c>
      <x:c r="P349" t="str">
        <x:v>P10-CA04</x:v>
      </x:c>
      <x:c r="Q349" t="str">
        <x:v>P10-WP043</x:v>
      </x:c>
      <x:c r="R349" t="str">
        <x:v>Task</x:v>
      </x:c>
      <x:c r="S349" t="str">
        <x:v>Project-type realism</x:v>
      </x:c>
      <x:c r="T349" t="str">
        <x:v>Source-derived / reconstructed network | Scenario dates calculated from reconstructed logic, not source recovered</x:v>
      </x:c>
      <x:c r="U349" s="54" t="n">
        <x:v>46379</x:v>
      </x:c>
      <x:c r="V349" s="54" t="n">
        <x:v>46388</x:v>
      </x:c>
      <x:c r="W349" s="54" t="n">
        <x:v>46379</x:v>
      </x:c>
      <x:c r="X349" s="54" t="n">
        <x:v>46388</x:v>
      </x:c>
      <x:c r="Y349" s="78" t="n">
        <x:v>0</x:v>
      </x:c>
    </x:row>
    <x:row r="350" ht="21" customHeight="1">
      <x:c r="A350" t="str">
        <x:v>P10-A17</x:v>
      </x:c>
      <x:c r="B350" t="str">
        <x:v>P10</x:v>
      </x:c>
      <x:c r="C350" t="str">
        <x:v>Site Installation — Panels &amp; Network Infrastructure</x:v>
      </x:c>
      <x:c r="D350" t="str">
        <x:v>1.10.4.3</x:v>
      </x:c>
      <x:c r="E350" s="54" t="n">
        <x:v>46391</x:v>
      </x:c>
      <x:c r="F350" s="54" t="n">
        <x:v>46423</x:v>
      </x:c>
      <x:c r="G350" s="54"/>
      <x:c r="H350" s="54"/>
      <x:c r="I350" s="54"/>
      <x:c r="J350" s="54"/>
      <x:c r="K350" t="n">
        <x:v>25</x:v>
      </x:c>
      <x:c r="L350" t="str">
        <x:v>P10-A8, P10-A16</x:v>
      </x:c>
      <x:c r="M350"/>
      <x:c r="N350" s="21" t="b">
        <x:v>0</x:v>
      </x:c>
      <x:c r="O350" s="21" t="b">
        <x:v>1</x:v>
      </x:c>
      <x:c r="P350" t="str">
        <x:v>P10-CA04</x:v>
      </x:c>
      <x:c r="Q350" t="str">
        <x:v>P10-WP043</x:v>
      </x:c>
      <x:c r="R350" t="str">
        <x:v>Task</x:v>
      </x:c>
      <x:c r="S350" t="str">
        <x:v>Project-type realism</x:v>
      </x:c>
      <x:c r="T350" t="str">
        <x:v>Source-derived / reconstructed network | Scenario dates calculated from reconstructed logic, not source recovered</x:v>
      </x:c>
      <x:c r="U350" s="54" t="n">
        <x:v>46391</x:v>
      </x:c>
      <x:c r="V350" s="54" t="n">
        <x:v>46423</x:v>
      </x:c>
      <x:c r="W350" s="54" t="n">
        <x:v>46391</x:v>
      </x:c>
      <x:c r="X350" s="54" t="n">
        <x:v>46423</x:v>
      </x:c>
      <x:c r="Y350" s="78" t="n">
        <x:v>0</x:v>
      </x:c>
    </x:row>
    <x:row r="351" ht="21" customHeight="1">
      <x:c r="A351" t="str">
        <x:v>P10-MSITEINSTALL</x:v>
      </x:c>
      <x:c r="B351" t="str">
        <x:v>P10</x:v>
      </x:c>
      <x:c r="C351" t="str">
        <x:v>MSITEINSTALL</x:v>
      </x:c>
      <x:c r="D351" t="str">
        <x:v>1.10.4.3</x:v>
      </x:c>
      <x:c r="E351" s="54" t="n">
        <x:v>46423</x:v>
      </x:c>
      <x:c r="F351" s="54" t="n">
        <x:v>46423</x:v>
      </x:c>
      <x:c r="G351" s="54"/>
      <x:c r="H351" s="54"/>
      <x:c r="I351" s="54"/>
      <x:c r="J351" s="54"/>
      <x:c r="K351" t="n">
        <x:v>0</x:v>
      </x:c>
      <x:c r="L351" t="str">
        <x:v>P10-A17</x:v>
      </x:c>
      <x:c r="M351"/>
      <x:c r="N351" s="21" t="b">
        <x:v>1</x:v>
      </x:c>
      <x:c r="O351" s="21" t="b">
        <x:v>0</x:v>
      </x:c>
      <x:c r="P351" t="str">
        <x:v>P10-CA04</x:v>
      </x:c>
      <x:c r="Q351" t="str">
        <x:v>P10-WP043</x:v>
      </x:c>
      <x:c r="R351" t="str">
        <x:v>Milestone</x:v>
      </x:c>
      <x:c r="S351" t="str">
        <x:v>Approved milestone / interface milestone</x:v>
      </x:c>
      <x:c r="T351" t="str">
        <x:v>Semantic WBS mapping corrected: site installation milestone maps to Network &amp; Communications Infrastructure | Scenario dates calculated from reconstructed logic, not source recovered</x:v>
      </x:c>
      <x:c r="U351" s="54" t="n">
        <x:v>46423</x:v>
      </x:c>
      <x:c r="V351" s="54" t="n">
        <x:v>46423</x:v>
      </x:c>
      <x:c r="W351" s="54" t="n">
        <x:v>46458</x:v>
      </x:c>
      <x:c r="X351" s="54" t="n">
        <x:v>46458</x:v>
      </x:c>
      <x:c r="Y351" s="78" t="n">
        <x:v>25</x:v>
      </x:c>
    </x:row>
    <x:row r="352" ht="21" customHeight="1">
      <x:c r="A352" t="str">
        <x:v>P10-A18</x:v>
      </x:c>
      <x:c r="B352" t="str">
        <x:v>P10</x:v>
      </x:c>
      <x:c r="C352" t="str">
        <x:v>I/O Checkout &amp; Point-to-Point Verification</x:v>
      </x:c>
      <x:c r="D352" t="str">
        <x:v>1.10.5.1</x:v>
      </x:c>
      <x:c r="E352" s="54" t="n">
        <x:v>46426</x:v>
      </x:c>
      <x:c r="F352" s="54" t="n">
        <x:v>46444</x:v>
      </x:c>
      <x:c r="G352" s="54"/>
      <x:c r="H352" s="54"/>
      <x:c r="I352" s="54"/>
      <x:c r="J352" s="54"/>
      <x:c r="K352" t="n">
        <x:v>15</x:v>
      </x:c>
      <x:c r="L352" t="str">
        <x:v>P10-A17</x:v>
      </x:c>
      <x:c r="M352"/>
      <x:c r="N352" s="21" t="b">
        <x:v>0</x:v>
      </x:c>
      <x:c r="O352" s="21" t="b">
        <x:v>1</x:v>
      </x:c>
      <x:c r="P352" t="str">
        <x:v>P10-CA05</x:v>
      </x:c>
      <x:c r="Q352" t="str">
        <x:v>P10-WP051</x:v>
      </x:c>
      <x:c r="R352" t="str">
        <x:v>Task</x:v>
      </x:c>
      <x:c r="S352" t="str">
        <x:v>Project-type realism</x:v>
      </x:c>
      <x:c r="T352" t="str">
        <x:v>Source-derived / reconstructed network | Scenario dates calculated from reconstructed logic, not source recovered</x:v>
      </x:c>
      <x:c r="U352" s="54" t="n">
        <x:v>46426</x:v>
      </x:c>
      <x:c r="V352" s="54" t="n">
        <x:v>46444</x:v>
      </x:c>
      <x:c r="W352" s="54" t="n">
        <x:v>46426</x:v>
      </x:c>
      <x:c r="X352" s="54" t="n">
        <x:v>46444</x:v>
      </x:c>
      <x:c r="Y352" s="78" t="n">
        <x:v>0</x:v>
      </x:c>
    </x:row>
    <x:row r="353" ht="21" customHeight="1">
      <x:c r="A353" t="str">
        <x:v>P10-MIOCHECK</x:v>
      </x:c>
      <x:c r="B353" t="str">
        <x:v>P10</x:v>
      </x:c>
      <x:c r="C353" t="str">
        <x:v>MIOCHECK</x:v>
      </x:c>
      <x:c r="D353" t="str">
        <x:v>1.10.5.1</x:v>
      </x:c>
      <x:c r="E353" s="54" t="n">
        <x:v>46444</x:v>
      </x:c>
      <x:c r="F353" s="54" t="n">
        <x:v>46444</x:v>
      </x:c>
      <x:c r="G353" s="54"/>
      <x:c r="H353" s="54"/>
      <x:c r="I353" s="54"/>
      <x:c r="J353" s="54"/>
      <x:c r="K353" t="n">
        <x:v>0</x:v>
      </x:c>
      <x:c r="L353" t="str">
        <x:v>P10-A18</x:v>
      </x:c>
      <x:c r="M353"/>
      <x:c r="N353" s="21" t="b">
        <x:v>1</x:v>
      </x:c>
      <x:c r="O353" s="21" t="b">
        <x:v>0</x:v>
      </x:c>
      <x:c r="P353" t="str">
        <x:v>P10-CA05</x:v>
      </x:c>
      <x:c r="Q353" t="str">
        <x:v>P10-WP051</x:v>
      </x:c>
      <x:c r="R353" t="str">
        <x:v>Milestone</x:v>
      </x:c>
      <x:c r="S353" t="str">
        <x:v>Approved milestone / interface milestone</x:v>
      </x:c>
      <x:c r="T353" t="str">
        <x:v>Semantic WBS mapping corrected: I/O checkout milestone | Scenario dates calculated from reconstructed logic, not source recovered</x:v>
      </x:c>
      <x:c r="U353" s="54" t="n">
        <x:v>46444</x:v>
      </x:c>
      <x:c r="V353" s="54" t="n">
        <x:v>46444</x:v>
      </x:c>
      <x:c r="W353" s="54" t="n">
        <x:v>46458</x:v>
      </x:c>
      <x:c r="X353" s="54" t="n">
        <x:v>46458</x:v>
      </x:c>
      <x:c r="Y353" s="78" t="n">
        <x:v>10</x:v>
      </x:c>
    </x:row>
    <x:row r="354" ht="21" customHeight="1">
      <x:c r="A354" t="str">
        <x:v>P10-A19</x:v>
      </x:c>
      <x:c r="B354" t="str">
        <x:v>P10</x:v>
      </x:c>
      <x:c r="C354" t="str">
        <x:v>Communications/Network Testing</x:v>
      </x:c>
      <x:c r="D354" t="str">
        <x:v>1.10.5.1</x:v>
      </x:c>
      <x:c r="E354" s="54" t="n">
        <x:v>46447</x:v>
      </x:c>
      <x:c r="F354" s="54" t="n">
        <x:v>46458</x:v>
      </x:c>
      <x:c r="G354" s="54"/>
      <x:c r="H354" s="54"/>
      <x:c r="I354" s="54"/>
      <x:c r="J354" s="54"/>
      <x:c r="K354" t="n">
        <x:v>10</x:v>
      </x:c>
      <x:c r="L354" t="str">
        <x:v>P10-A18</x:v>
      </x:c>
      <x:c r="M354"/>
      <x:c r="N354" s="21" t="b">
        <x:v>0</x:v>
      </x:c>
      <x:c r="O354" s="21" t="b">
        <x:v>1</x:v>
      </x:c>
      <x:c r="P354" t="str">
        <x:v>P10-CA05</x:v>
      </x:c>
      <x:c r="Q354" t="str">
        <x:v>P10-WP051</x:v>
      </x:c>
      <x:c r="R354" t="str">
        <x:v>Task</x:v>
      </x:c>
      <x:c r="S354" t="str">
        <x:v>Project-type realism</x:v>
      </x:c>
      <x:c r="T354" t="str">
        <x:v>Source-derived / reconstructed network | Scenario dates calculated from reconstructed logic, not source recovered</x:v>
      </x:c>
      <x:c r="U354" s="54" t="n">
        <x:v>46447</x:v>
      </x:c>
      <x:c r="V354" s="54" t="n">
        <x:v>46458</x:v>
      </x:c>
      <x:c r="W354" s="54" t="n">
        <x:v>46447</x:v>
      </x:c>
      <x:c r="X354" s="54" t="n">
        <x:v>46458</x:v>
      </x:c>
      <x:c r="Y354" s="78" t="n">
        <x:v>0</x:v>
      </x:c>
    </x:row>
    <x:row r="355" ht="21" customHeight="1">
      <x:c r="A355" t="str">
        <x:v>P10-MIF03</x:v>
      </x:c>
      <x:c r="B355" t="str">
        <x:v>P10</x:v>
      </x:c>
      <x:c r="C355" t="str">
        <x:v>Site Integration Ready</x:v>
      </x:c>
      <x:c r="D355" t="str">
        <x:v>1.10.5.1</x:v>
      </x:c>
      <x:c r="E355" s="54" t="n">
        <x:v>46458</x:v>
      </x:c>
      <x:c r="F355" s="54" t="n">
        <x:v>46458</x:v>
      </x:c>
      <x:c r="G355" s="54"/>
      <x:c r="H355" s="54"/>
      <x:c r="I355" s="54"/>
      <x:c r="J355" s="54"/>
      <x:c r="K355" t="n">
        <x:v>0</x:v>
      </x:c>
      <x:c r="L355" t="str">
        <x:v>P03-I-P03-03, P08-I-P08-03, P10-MSITEINSTALL, P10-MIOCHECK, P10-A19</x:v>
      </x:c>
      <x:c r="M355"/>
      <x:c r="N355" s="21" t="b">
        <x:v>1</x:v>
      </x:c>
      <x:c r="O355" s="21" t="b">
        <x:v>1</x:v>
      </x:c>
      <x:c r="P355" t="str">
        <x:v>P10-CA05</x:v>
      </x:c>
      <x:c r="Q355" t="str">
        <x:v>P10-WP051</x:v>
      </x:c>
      <x:c r="R355" t="str">
        <x:v>Milestone</x:v>
      </x:c>
      <x:c r="S355" t="str">
        <x:v>Approved milestone / interface milestone</x:v>
      </x:c>
      <x:c r="T355" t="str">
        <x:v>Semantic WBS mapping corrected: site integration readiness is a testing/integration gate | Scenario dates calculated from reconstructed logic, not source recovered</x:v>
      </x:c>
      <x:c r="U355" s="54" t="n">
        <x:v>46458</x:v>
      </x:c>
      <x:c r="V355" s="54" t="n">
        <x:v>46458</x:v>
      </x:c>
      <x:c r="W355" s="54" t="n">
        <x:v>46458</x:v>
      </x:c>
      <x:c r="X355" s="54" t="n">
        <x:v>46458</x:v>
      </x:c>
      <x:c r="Y355" s="78" t="n">
        <x:v>0</x:v>
      </x:c>
    </x:row>
    <x:row r="356" ht="21" customHeight="1">
      <x:c r="A356" t="str">
        <x:v>P10-A20</x:v>
      </x:c>
      <x:c r="B356" t="str">
        <x:v>P10</x:v>
      </x:c>
      <x:c r="C356" t="str">
        <x:v>System Integration — head-end / PLCs / historian</x:v>
      </x:c>
      <x:c r="D356" t="str">
        <x:v>1.10.5.1</x:v>
      </x:c>
      <x:c r="E356" s="54" t="n">
        <x:v>46461</x:v>
      </x:c>
      <x:c r="F356" s="54" t="n">
        <x:v>46479</x:v>
      </x:c>
      <x:c r="G356" s="54"/>
      <x:c r="H356" s="54"/>
      <x:c r="I356" s="54"/>
      <x:c r="J356" s="54"/>
      <x:c r="K356" t="n">
        <x:v>15</x:v>
      </x:c>
      <x:c r="L356" t="str">
        <x:v>P10-MIF03</x:v>
      </x:c>
      <x:c r="M356"/>
      <x:c r="N356" s="21" t="b">
        <x:v>0</x:v>
      </x:c>
      <x:c r="O356" s="21" t="b">
        <x:v>1</x:v>
      </x:c>
      <x:c r="P356" t="str">
        <x:v>P10-CA05</x:v>
      </x:c>
      <x:c r="Q356" t="str">
        <x:v>P10-WP051</x:v>
      </x:c>
      <x:c r="R356" t="str">
        <x:v>Task</x:v>
      </x:c>
      <x:c r="S356" t="str">
        <x:v>Project-type realism</x:v>
      </x:c>
      <x:c r="T356" t="str">
        <x:v>Recovered after restoring approved P10 interface chain and published milestone dates | Scenario dates calculated from reconstructed logic, not source recovered</x:v>
      </x:c>
      <x:c r="U356" s="54" t="n">
        <x:v>46461</x:v>
      </x:c>
      <x:c r="V356" s="54" t="n">
        <x:v>46479</x:v>
      </x:c>
      <x:c r="W356" s="54" t="n">
        <x:v>46461</x:v>
      </x:c>
      <x:c r="X356" s="54" t="n">
        <x:v>46479</x:v>
      </x:c>
      <x:c r="Y356" s="78" t="n">
        <x:v>0</x:v>
      </x:c>
    </x:row>
    <x:row r="357" ht="21" customHeight="1">
      <x:c r="A357" t="str">
        <x:v>P10-A21</x:v>
      </x:c>
      <x:c r="B357" t="str">
        <x:v>P10</x:v>
      </x:c>
      <x:c r="C357" t="str">
        <x:v>Site Acceptance Testing (SAT)</x:v>
      </x:c>
      <x:c r="D357" t="str">
        <x:v>1.10.5.1</x:v>
      </x:c>
      <x:c r="E357" s="54" t="n">
        <x:v>46482</x:v>
      </x:c>
      <x:c r="F357" s="54" t="n">
        <x:v>46500</x:v>
      </x:c>
      <x:c r="G357" s="54"/>
      <x:c r="H357" s="54"/>
      <x:c r="I357" s="54"/>
      <x:c r="J357" s="54"/>
      <x:c r="K357" t="n">
        <x:v>15</x:v>
      </x:c>
      <x:c r="L357" t="str">
        <x:v>P10-A20</x:v>
      </x:c>
      <x:c r="M357"/>
      <x:c r="N357" s="21" t="b">
        <x:v>0</x:v>
      </x:c>
      <x:c r="O357" s="21" t="b">
        <x:v>1</x:v>
      </x:c>
      <x:c r="P357" t="str">
        <x:v>P10-CA05</x:v>
      </x:c>
      <x:c r="Q357" t="str">
        <x:v>P10-WP051</x:v>
      </x:c>
      <x:c r="R357" t="str">
        <x:v>Task</x:v>
      </x:c>
      <x:c r="S357" t="str">
        <x:v>Project-type realism</x:v>
      </x:c>
      <x:c r="T357" t="str">
        <x:v>Recovered after restoring approved P10 interface chain and published milestone dates | Scenario dates calculated from reconstructed logic, not source recovered</x:v>
      </x:c>
      <x:c r="U357" s="54" t="n">
        <x:v>46482</x:v>
      </x:c>
      <x:c r="V357" s="54" t="n">
        <x:v>46500</x:v>
      </x:c>
      <x:c r="W357" s="54" t="n">
        <x:v>46482</x:v>
      </x:c>
      <x:c r="X357" s="54" t="n">
        <x:v>46500</x:v>
      </x:c>
      <x:c r="Y357" s="78" t="n">
        <x:v>0</x:v>
      </x:c>
    </x:row>
    <x:row r="358" ht="21" customHeight="1">
      <x:c r="A358" t="str">
        <x:v>P10-MSAT</x:v>
      </x:c>
      <x:c r="B358" t="str">
        <x:v>P10</x:v>
      </x:c>
      <x:c r="C358" t="str">
        <x:v>MSAT</x:v>
      </x:c>
      <x:c r="D358" t="str">
        <x:v>1.10.5.1</x:v>
      </x:c>
      <x:c r="E358" s="54" t="n">
        <x:v>46500</x:v>
      </x:c>
      <x:c r="F358" s="54" t="n">
        <x:v>46500</x:v>
      </x:c>
      <x:c r="G358" s="54"/>
      <x:c r="H358" s="54"/>
      <x:c r="I358" s="54"/>
      <x:c r="J358" s="54"/>
      <x:c r="K358" t="n">
        <x:v>0</x:v>
      </x:c>
      <x:c r="L358" t="str">
        <x:v>P10-A21</x:v>
      </x:c>
      <x:c r="M358"/>
      <x:c r="N358" s="21" t="b">
        <x:v>1</x:v>
      </x:c>
      <x:c r="O358" s="21" t="b">
        <x:v>0</x:v>
      </x:c>
      <x:c r="P358" t="str">
        <x:v>P10-CA05</x:v>
      </x:c>
      <x:c r="Q358" t="str">
        <x:v>P10-WP051</x:v>
      </x:c>
      <x:c r="R358" t="str">
        <x:v>Milestone</x:v>
      </x:c>
      <x:c r="S358" t="str">
        <x:v>Approved milestone / interface milestone</x:v>
      </x:c>
      <x:c r="T358" t="str">
        <x:v>Source-explicit milestone date | Scenario dates calculated from reconstructed logic, not source recovered</x:v>
      </x:c>
      <x:c r="U358" s="54" t="n">
        <x:v>46500</x:v>
      </x:c>
      <x:c r="V358" s="54" t="n">
        <x:v>46500</x:v>
      </x:c>
      <x:c r="W358" s="54" t="n">
        <x:v>46605</x:v>
      </x:c>
      <x:c r="X358" s="54" t="n">
        <x:v>46605</x:v>
      </x:c>
      <x:c r="Y358" s="78" t="n">
        <x:v>75</x:v>
      </x:c>
    </x:row>
    <x:row r="359" ht="21" customHeight="1">
      <x:c r="A359" t="str">
        <x:v>P10-A22</x:v>
      </x:c>
      <x:c r="B359" t="str">
        <x:v>P10</x:v>
      </x:c>
      <x:c r="C359" t="str">
        <x:v>Operator Training</x:v>
      </x:c>
      <x:c r="D359" t="str">
        <x:v>1.10.5.1</x:v>
      </x:c>
      <x:c r="E359" s="54" t="n">
        <x:v>46503</x:v>
      </x:c>
      <x:c r="F359" s="54" t="n">
        <x:v>46514</x:v>
      </x:c>
      <x:c r="G359" s="54"/>
      <x:c r="H359" s="54"/>
      <x:c r="I359" s="54"/>
      <x:c r="J359" s="54"/>
      <x:c r="K359" t="n">
        <x:v>10</x:v>
      </x:c>
      <x:c r="L359" t="str">
        <x:v>P10-A21</x:v>
      </x:c>
      <x:c r="M359"/>
      <x:c r="N359" s="21" t="b">
        <x:v>0</x:v>
      </x:c>
      <x:c r="O359" s="21" t="b">
        <x:v>1</x:v>
      </x:c>
      <x:c r="P359" t="str">
        <x:v>P10-CA05</x:v>
      </x:c>
      <x:c r="Q359" t="str">
        <x:v>P10-WP051</x:v>
      </x:c>
      <x:c r="R359" t="str">
        <x:v>Task</x:v>
      </x:c>
      <x:c r="S359" t="str">
        <x:v>Project-type realism</x:v>
      </x:c>
      <x:c r="T359" t="str">
        <x:v>Semantic WBS mapping corrected: operator training is acceptance/commissioning scope | Scenario dates calculated from reconstructed logic, not source recovered</x:v>
      </x:c>
      <x:c r="U359" s="54" t="n">
        <x:v>46503</x:v>
      </x:c>
      <x:c r="V359" s="54" t="n">
        <x:v>46514</x:v>
      </x:c>
      <x:c r="W359" s="54" t="n">
        <x:v>46503</x:v>
      </x:c>
      <x:c r="X359" s="54" t="n">
        <x:v>46514</x:v>
      </x:c>
      <x:c r="Y359" s="78" t="n">
        <x:v>0</x:v>
      </x:c>
    </x:row>
    <x:row r="360" ht="21" customHeight="1">
      <x:c r="A360" t="str">
        <x:v>P10-A23</x:v>
      </x:c>
      <x:c r="B360" t="str">
        <x:v>P10</x:v>
      </x:c>
      <x:c r="C360" t="str">
        <x:v>Cutover Planning</x:v>
      </x:c>
      <x:c r="D360" t="str">
        <x:v>1.10.5.1</x:v>
      </x:c>
      <x:c r="E360" s="54" t="n">
        <x:v>46503</x:v>
      </x:c>
      <x:c r="F360" s="54" t="n">
        <x:v>46514</x:v>
      </x:c>
      <x:c r="G360" s="54"/>
      <x:c r="H360" s="54"/>
      <x:c r="I360" s="54"/>
      <x:c r="J360" s="54"/>
      <x:c r="K360" t="n">
        <x:v>10</x:v>
      </x:c>
      <x:c r="L360" t="str">
        <x:v>P10-A21</x:v>
      </x:c>
      <x:c r="M360"/>
      <x:c r="N360" s="21" t="b">
        <x:v>0</x:v>
      </x:c>
      <x:c r="O360" s="21" t="b">
        <x:v>1</x:v>
      </x:c>
      <x:c r="P360" t="str">
        <x:v>P10-CA05</x:v>
      </x:c>
      <x:c r="Q360" t="str">
        <x:v>P10-WP051</x:v>
      </x:c>
      <x:c r="R360" t="str">
        <x:v>Task</x:v>
      </x:c>
      <x:c r="S360" t="str">
        <x:v>Project-type realism</x:v>
      </x:c>
      <x:c r="T360" t="str">
        <x:v>Recovered after restoring approved P10 interface chain and published milestone dates | Scenario dates calculated from reconstructed logic, not source recovered</x:v>
      </x:c>
      <x:c r="U360" s="54" t="n">
        <x:v>46503</x:v>
      </x:c>
      <x:c r="V360" s="54" t="n">
        <x:v>46514</x:v>
      </x:c>
      <x:c r="W360" s="54" t="n">
        <x:v>46503</x:v>
      </x:c>
      <x:c r="X360" s="54" t="n">
        <x:v>46514</x:v>
      </x:c>
      <x:c r="Y360" s="78" t="n">
        <x:v>0</x:v>
      </x:c>
    </x:row>
    <x:row r="361" ht="21" customHeight="1">
      <x:c r="A361" t="str">
        <x:v>P10-A24</x:v>
      </x:c>
      <x:c r="B361" t="str">
        <x:v>P10</x:v>
      </x:c>
      <x:c r="C361" t="str">
        <x:v>Phased Cutover / Migration from Legacy System</x:v>
      </x:c>
      <x:c r="D361" t="str">
        <x:v>1.10.5.1</x:v>
      </x:c>
      <x:c r="E361" s="54" t="n">
        <x:v>46517</x:v>
      </x:c>
      <x:c r="F361" s="54" t="n">
        <x:v>46535</x:v>
      </x:c>
      <x:c r="G361" s="54"/>
      <x:c r="H361" s="54"/>
      <x:c r="I361" s="54"/>
      <x:c r="J361" s="54"/>
      <x:c r="K361" t="n">
        <x:v>15</x:v>
      </x:c>
      <x:c r="L361" t="str">
        <x:v>P10-A22, P10-A23</x:v>
      </x:c>
      <x:c r="M361"/>
      <x:c r="N361" s="21" t="b">
        <x:v>0</x:v>
      </x:c>
      <x:c r="O361" s="21" t="b">
        <x:v>1</x:v>
      </x:c>
      <x:c r="P361" t="str">
        <x:v>P10-CA05</x:v>
      </x:c>
      <x:c r="Q361" t="str">
        <x:v>P10-WP051</x:v>
      </x:c>
      <x:c r="R361" t="str">
        <x:v>Task</x:v>
      </x:c>
      <x:c r="S361" t="str">
        <x:v>Project-type realism</x:v>
      </x:c>
      <x:c r="T361" t="str">
        <x:v>Recovered after restoring approved P10 interface chain and published milestone dates | Scenario dates calculated from reconstructed logic, not source recovered</x:v>
      </x:c>
      <x:c r="U361" s="54" t="n">
        <x:v>46517</x:v>
      </x:c>
      <x:c r="V361" s="54" t="n">
        <x:v>46535</x:v>
      </x:c>
      <x:c r="W361" s="54" t="n">
        <x:v>46517</x:v>
      </x:c>
      <x:c r="X361" s="54" t="n">
        <x:v>46535</x:v>
      </x:c>
      <x:c r="Y361" s="78" t="n">
        <x:v>0</x:v>
      </x:c>
    </x:row>
    <x:row r="362" ht="21" customHeight="1">
      <x:c r="A362" t="str">
        <x:v>P10-MCUTOVER</x:v>
      </x:c>
      <x:c r="B362" t="str">
        <x:v>P10</x:v>
      </x:c>
      <x:c r="C362" t="str">
        <x:v>MCUTOVER</x:v>
      </x:c>
      <x:c r="D362" t="str">
        <x:v>1.10.5.1</x:v>
      </x:c>
      <x:c r="E362" s="54" t="n">
        <x:v>46535</x:v>
      </x:c>
      <x:c r="F362" s="54" t="n">
        <x:v>46535</x:v>
      </x:c>
      <x:c r="G362" s="54"/>
      <x:c r="H362" s="54"/>
      <x:c r="I362" s="54"/>
      <x:c r="J362" s="54"/>
      <x:c r="K362" t="n">
        <x:v>0</x:v>
      </x:c>
      <x:c r="L362" t="str">
        <x:v>P10-A24</x:v>
      </x:c>
      <x:c r="M362"/>
      <x:c r="N362" s="21" t="b">
        <x:v>1</x:v>
      </x:c>
      <x:c r="O362" s="21" t="b">
        <x:v>0</x:v>
      </x:c>
      <x:c r="P362" t="str">
        <x:v>P10-CA05</x:v>
      </x:c>
      <x:c r="Q362" t="str">
        <x:v>P10-WP051</x:v>
      </x:c>
      <x:c r="R362" t="str">
        <x:v>Milestone</x:v>
      </x:c>
      <x:c r="S362" t="str">
        <x:v>Approved milestone / interface milestone</x:v>
      </x:c>
      <x:c r="T362" t="str">
        <x:v>Source-explicit milestone date | Scenario dates calculated from reconstructed logic, not source recovered</x:v>
      </x:c>
      <x:c r="U362" s="54" t="n">
        <x:v>46535</x:v>
      </x:c>
      <x:c r="V362" s="54" t="n">
        <x:v>46535</x:v>
      </x:c>
      <x:c r="W362" s="54" t="n">
        <x:v>46605</x:v>
      </x:c>
      <x:c r="X362" s="54" t="n">
        <x:v>46605</x:v>
      </x:c>
      <x:c r="Y362" s="78" t="n">
        <x:v>50</x:v>
      </x:c>
    </x:row>
    <x:row r="363" ht="21" customHeight="1">
      <x:c r="A363" t="str">
        <x:v>P10-A25</x:v>
      </x:c>
      <x:c r="B363" t="str">
        <x:v>P10</x:v>
      </x:c>
      <x:c r="C363" t="str">
        <x:v>Post-Cutover Monitoring &amp; Stabilization</x:v>
      </x:c>
      <x:c r="D363" t="str">
        <x:v>1.10.5.1</x:v>
      </x:c>
      <x:c r="E363" s="54" t="n">
        <x:v>46538</x:v>
      </x:c>
      <x:c r="F363" s="54" t="n">
        <x:v>46556</x:v>
      </x:c>
      <x:c r="G363" s="54"/>
      <x:c r="H363" s="54"/>
      <x:c r="I363" s="54"/>
      <x:c r="J363" s="54"/>
      <x:c r="K363" t="n">
        <x:v>15</x:v>
      </x:c>
      <x:c r="L363" t="str">
        <x:v>P10-A24</x:v>
      </x:c>
      <x:c r="M363"/>
      <x:c r="N363" s="21" t="b">
        <x:v>0</x:v>
      </x:c>
      <x:c r="O363" s="21" t="b">
        <x:v>1</x:v>
      </x:c>
      <x:c r="P363" t="str">
        <x:v>P10-CA05</x:v>
      </x:c>
      <x:c r="Q363" t="str">
        <x:v>P10-WP051</x:v>
      </x:c>
      <x:c r="R363" t="str">
        <x:v>Task</x:v>
      </x:c>
      <x:c r="S363" t="str">
        <x:v>Project-type realism</x:v>
      </x:c>
      <x:c r="T363" t="str">
        <x:v>Recovered after restoring approved P10 interface chain and published milestone dates | Scenario dates calculated from reconstructed logic, not source recovered</x:v>
      </x:c>
      <x:c r="U363" s="54" t="n">
        <x:v>46538</x:v>
      </x:c>
      <x:c r="V363" s="54" t="n">
        <x:v>46556</x:v>
      </x:c>
      <x:c r="W363" s="54" t="n">
        <x:v>46538</x:v>
      </x:c>
      <x:c r="X363" s="54" t="n">
        <x:v>46556</x:v>
      </x:c>
      <x:c r="Y363" s="78" t="n">
        <x:v>0</x:v>
      </x:c>
    </x:row>
    <x:row r="364" ht="21" customHeight="1">
      <x:c r="A364" t="str">
        <x:v>P10-MOPACC</x:v>
      </x:c>
      <x:c r="B364" t="str">
        <x:v>P10</x:v>
      </x:c>
      <x:c r="C364" t="str">
        <x:v>MOPACC</x:v>
      </x:c>
      <x:c r="D364" t="str">
        <x:v>1.10.5.1</x:v>
      </x:c>
      <x:c r="E364" s="54" t="n">
        <x:v>46556</x:v>
      </x:c>
      <x:c r="F364" s="54" t="n">
        <x:v>46556</x:v>
      </x:c>
      <x:c r="G364" s="54"/>
      <x:c r="H364" s="54"/>
      <x:c r="I364" s="54"/>
      <x:c r="J364" s="54"/>
      <x:c r="K364" t="n">
        <x:v>0</x:v>
      </x:c>
      <x:c r="L364" t="str">
        <x:v>P10-A25</x:v>
      </x:c>
      <x:c r="M364"/>
      <x:c r="N364" s="21" t="b">
        <x:v>1</x:v>
      </x:c>
      <x:c r="O364" s="21" t="b">
        <x:v>0</x:v>
      </x:c>
      <x:c r="P364" t="str">
        <x:v>P10-CA05</x:v>
      </x:c>
      <x:c r="Q364" t="str">
        <x:v>P10-WP051</x:v>
      </x:c>
      <x:c r="R364" t="str">
        <x:v>Milestone</x:v>
      </x:c>
      <x:c r="S364" t="str">
        <x:v>Approved milestone / interface milestone</x:v>
      </x:c>
      <x:c r="T364" t="str">
        <x:v>Semantic WBS mapping corrected: operational acceptance milestone | Scenario dates calculated from reconstructed logic, not source recovered</x:v>
      </x:c>
      <x:c r="U364" s="54" t="n">
        <x:v>46556</x:v>
      </x:c>
      <x:c r="V364" s="54" t="n">
        <x:v>46556</x:v>
      </x:c>
      <x:c r="W364" s="54" t="n">
        <x:v>46605</x:v>
      </x:c>
      <x:c r="X364" s="54" t="n">
        <x:v>46605</x:v>
      </x:c>
      <x:c r="Y364" s="78" t="n">
        <x:v>35</x:v>
      </x:c>
    </x:row>
    <x:row r="365" ht="21" customHeight="1">
      <x:c r="A365" t="str">
        <x:v>P10-A26</x:v>
      </x:c>
      <x:c r="B365" t="str">
        <x:v>P10</x:v>
      </x:c>
      <x:c r="C365" t="str">
        <x:v>Documentation, Backup &amp; Turnover</x:v>
      </x:c>
      <x:c r="D365" t="str">
        <x:v>1.10.6.1</x:v>
      </x:c>
      <x:c r="E365" s="54" t="n">
        <x:v>46559</x:v>
      </x:c>
      <x:c r="F365" s="54" t="n">
        <x:v>46577</x:v>
      </x:c>
      <x:c r="G365" s="54"/>
      <x:c r="H365" s="54"/>
      <x:c r="I365" s="54"/>
      <x:c r="J365" s="54"/>
      <x:c r="K365" t="n">
        <x:v>15</x:v>
      </x:c>
      <x:c r="L365" t="str">
        <x:v>P10-A25</x:v>
      </x:c>
      <x:c r="M365"/>
      <x:c r="N365" s="21" t="b">
        <x:v>0</x:v>
      </x:c>
      <x:c r="O365" s="21" t="b">
        <x:v>1</x:v>
      </x:c>
      <x:c r="P365" t="str">
        <x:v>P10-CA06</x:v>
      </x:c>
      <x:c r="Q365" t="str">
        <x:v>P10-WP061</x:v>
      </x:c>
      <x:c r="R365" t="str">
        <x:v>Task</x:v>
      </x:c>
      <x:c r="S365" t="str">
        <x:v>Project-type realism</x:v>
      </x:c>
      <x:c r="T365" t="str">
        <x:v>Recovered after restoring approved P10 interface chain and published milestone dates | Scenario dates calculated from reconstructed logic, not source recovered</x:v>
      </x:c>
      <x:c r="U365" s="54" t="n">
        <x:v>46559</x:v>
      </x:c>
      <x:c r="V365" s="54" t="n">
        <x:v>46577</x:v>
      </x:c>
      <x:c r="W365" s="54" t="n">
        <x:v>46559</x:v>
      </x:c>
      <x:c r="X365" s="54" t="n">
        <x:v>46577</x:v>
      </x:c>
      <x:c r="Y365" s="78" t="n">
        <x:v>0</x:v>
      </x:c>
    </x:row>
    <x:row r="366" ht="21" customHeight="1">
      <x:c r="A366" t="str">
        <x:v>P10-A27</x:v>
      </x:c>
      <x:c r="B366" t="str">
        <x:v>P10</x:v>
      </x:c>
      <x:c r="C366" t="str">
        <x:v>Final Inspection &amp; Punch List</x:v>
      </x:c>
      <x:c r="D366" t="str">
        <x:v>1.10.5.1</x:v>
      </x:c>
      <x:c r="E366" s="54" t="n">
        <x:v>46559</x:v>
      </x:c>
      <x:c r="F366" s="54" t="n">
        <x:v>46570</x:v>
      </x:c>
      <x:c r="G366" s="54"/>
      <x:c r="H366" s="54"/>
      <x:c r="I366" s="54"/>
      <x:c r="J366" s="54"/>
      <x:c r="K366" t="n">
        <x:v>10</x:v>
      </x:c>
      <x:c r="L366" t="str">
        <x:v>P10-A25</x:v>
      </x:c>
      <x:c r="M366"/>
      <x:c r="N366" s="21" t="b">
        <x:v>0</x:v>
      </x:c>
      <x:c r="O366" s="21" t="b">
        <x:v>0</x:v>
      </x:c>
      <x:c r="P366" t="str">
        <x:v>P10-CA05</x:v>
      </x:c>
      <x:c r="Q366" t="str">
        <x:v>P10-WP051</x:v>
      </x:c>
      <x:c r="R366" t="str">
        <x:v>Task</x:v>
      </x:c>
      <x:c r="S366" t="str">
        <x:v>Project-type realism</x:v>
      </x:c>
      <x:c r="T366" t="str">
        <x:v>Semantic WBS mapping corrected: final inspection/punch list is acceptance/commissioning scope | Scenario dates calculated from reconstructed logic, not source recovered</x:v>
      </x:c>
      <x:c r="U366" s="54" t="n">
        <x:v>46559</x:v>
      </x:c>
      <x:c r="V366" s="54" t="n">
        <x:v>46570</x:v>
      </x:c>
      <x:c r="W366" s="54" t="n">
        <x:v>46594</x:v>
      </x:c>
      <x:c r="X366" s="54" t="n">
        <x:v>46605</x:v>
      </x:c>
      <x:c r="Y366" s="78" t="n">
        <x:v>25</x:v>
      </x:c>
    </x:row>
    <x:row r="367" ht="21" customHeight="1">
      <x:c r="A367" t="str">
        <x:v>P10-M3</x:v>
      </x:c>
      <x:c r="B367" t="str">
        <x:v>P10</x:v>
      </x:c>
      <x:c r="C367" t="str">
        <x:v>Substantial Completion</x:v>
      </x:c>
      <x:c r="D367" t="str">
        <x:v>1.10.5.1</x:v>
      </x:c>
      <x:c r="E367" s="54" t="n">
        <x:v>46570</x:v>
      </x:c>
      <x:c r="F367" s="54" t="n">
        <x:v>46570</x:v>
      </x:c>
      <x:c r="G367" s="54"/>
      <x:c r="H367" s="54"/>
      <x:c r="I367" s="54"/>
      <x:c r="J367" s="54"/>
      <x:c r="K367" t="n">
        <x:v>0</x:v>
      </x:c>
      <x:c r="L367" t="str">
        <x:v>P10-A27</x:v>
      </x:c>
      <x:c r="M367"/>
      <x:c r="N367" s="21" t="b">
        <x:v>1</x:v>
      </x:c>
      <x:c r="O367" s="21" t="b">
        <x:v>0</x:v>
      </x:c>
      <x:c r="P367" t="str">
        <x:v>P10-CA05</x:v>
      </x:c>
      <x:c r="Q367" t="str">
        <x:v>P10-WP051</x:v>
      </x:c>
      <x:c r="R367" t="str">
        <x:v>Milestone</x:v>
      </x:c>
      <x:c r="S367" t="str">
        <x:v>Approved milestone / interface milestone</x:v>
      </x:c>
      <x:c r="T367" t="str">
        <x:v>Semantic WBS mapping corrected: substantial completion follows acceptance/testing | Scenario dates calculated from reconstructed logic, not source recovered</x:v>
      </x:c>
      <x:c r="U367" s="54" t="n">
        <x:v>46570</x:v>
      </x:c>
      <x:c r="V367" s="54" t="n">
        <x:v>46570</x:v>
      </x:c>
      <x:c r="W367" s="54" t="n">
        <x:v>46605</x:v>
      </x:c>
      <x:c r="X367" s="54" t="n">
        <x:v>46605</x:v>
      </x:c>
      <x:c r="Y367" s="78" t="n">
        <x:v>25</x:v>
      </x:c>
    </x:row>
    <x:row r="368" ht="21" customHeight="1">
      <x:c r="A368" t="str">
        <x:v>P10-A28</x:v>
      </x:c>
      <x:c r="B368" t="str">
        <x:v>P10</x:v>
      </x:c>
      <x:c r="C368" t="str">
        <x:v>Financial Closeout</x:v>
      </x:c>
      <x:c r="D368" t="str">
        <x:v>1.10.6.2</x:v>
      </x:c>
      <x:c r="E368" s="54" t="n">
        <x:v>46587</x:v>
      </x:c>
      <x:c r="F368" s="54" t="n">
        <x:v>46605</x:v>
      </x:c>
      <x:c r="G368" s="54"/>
      <x:c r="H368" s="54"/>
      <x:c r="I368" s="54"/>
      <x:c r="J368" s="54"/>
      <x:c r="K368" t="n">
        <x:v>15</x:v>
      </x:c>
      <x:c r="L368" t="str">
        <x:v>P10-A26, P10-A27</x:v>
      </x:c>
      <x:c r="M368"/>
      <x:c r="N368" s="21" t="b">
        <x:v>0</x:v>
      </x:c>
      <x:c r="O368" s="21" t="b">
        <x:v>1</x:v>
      </x:c>
      <x:c r="P368" t="str">
        <x:v>P10-CA06</x:v>
      </x:c>
      <x:c r="Q368" t="str">
        <x:v>P10-WP062</x:v>
      </x:c>
      <x:c r="R368" t="str">
        <x:v>Task</x:v>
      </x:c>
      <x:c r="S368" t="str">
        <x:v>Project-type realism</x:v>
      </x:c>
      <x:c r="T368" t="str">
        <x:v>Recovered after restoring approved P10 interface chain and published milestone dates | Scenario dates calculated from reconstructed logic, not source recovered</x:v>
      </x:c>
      <x:c r="U368" s="54" t="n">
        <x:v>46587</x:v>
      </x:c>
      <x:c r="V368" s="54" t="n">
        <x:v>46605</x:v>
      </x:c>
      <x:c r="W368" s="54" t="n">
        <x:v>46587</x:v>
      </x:c>
      <x:c r="X368" s="54" t="n">
        <x:v>46605</x:v>
      </x:c>
      <x:c r="Y368" s="78" t="n">
        <x:v>0</x:v>
      </x:c>
    </x:row>
    <x:row r="369" ht="21" customHeight="1">
      <x:c r="A369" t="str">
        <x:v>P10-M4</x:v>
      </x:c>
      <x:c r="B369" t="str">
        <x:v>P10</x:v>
      </x:c>
      <x:c r="C369" t="str">
        <x:v>Final Completion</x:v>
      </x:c>
      <x:c r="D369" t="str">
        <x:v>1.10.6.2</x:v>
      </x:c>
      <x:c r="E369" s="54" t="n">
        <x:v>46605</x:v>
      </x:c>
      <x:c r="F369" s="54" t="n">
        <x:v>46605</x:v>
      </x:c>
      <x:c r="G369" s="54"/>
      <x:c r="H369" s="54"/>
      <x:c r="I369" s="54"/>
      <x:c r="J369" s="54"/>
      <x:c r="K369" t="n">
        <x:v>0</x:v>
      </x:c>
      <x:c r="L369" t="str">
        <x:v>P10-A28</x:v>
      </x:c>
      <x:c r="M369"/>
      <x:c r="N369" s="21" t="b">
        <x:v>1</x:v>
      </x:c>
      <x:c r="O369" s="21" t="b">
        <x:v>1</x:v>
      </x:c>
      <x:c r="P369" t="str">
        <x:v>P10-CA06</x:v>
      </x:c>
      <x:c r="Q369" t="str">
        <x:v>P10-WP062</x:v>
      </x:c>
      <x:c r="R369" t="str">
        <x:v>Milestone</x:v>
      </x:c>
      <x:c r="S369" t="str">
        <x:v>Approved milestone / interface milestone</x:v>
      </x:c>
      <x:c r="T369" t="str">
        <x:v>Semantic WBS mapping corrected: final completion aligns with financial closeout | Scenario dates calculated from reconstructed logic, not source recovered</x:v>
      </x:c>
      <x:c r="U369" s="54" t="n">
        <x:v>46605</x:v>
      </x:c>
      <x:c r="V369" s="54" t="n">
        <x:v>46605</x:v>
      </x:c>
      <x:c r="W369" s="54" t="n">
        <x:v>46605</x:v>
      </x:c>
      <x:c r="X369" s="54" t="n">
        <x:v>46605</x:v>
      </x:c>
      <x:c r="Y369" s="78" t="n">
        <x:v>0</x:v>
      </x:c>
    </x:row>
    <x:row r="370" ht="21" customHeight="1">
      <x:c r="A370" t="str">
        <x:v>P11-A1</x:v>
      </x:c>
      <x:c r="B370" t="str">
        <x:v>P11</x:v>
      </x:c>
      <x:c r="C370" t="str">
        <x:v>Valve Inventory / Condition Prioritization</x:v>
      </x:c>
      <x:c r="D370" t="str">
        <x:v>1.11.1.1</x:v>
      </x:c>
      <x:c r="E370" s="54" t="n">
        <x:v>45748</x:v>
      </x:c>
      <x:c r="F370" s="54" t="n">
        <x:v>45768</x:v>
      </x:c>
      <x:c r="G370" s="54"/>
      <x:c r="H370" s="54"/>
      <x:c r="I370" s="54"/>
      <x:c r="J370" s="54"/>
      <x:c r="K370" t="n">
        <x:v>15</x:v>
      </x:c>
      <x:c r="L370" t="str"/>
      <x:c r="M370"/>
      <x:c r="N370" s="21" t="b">
        <x:v>0</x:v>
      </x:c>
      <x:c r="O370" s="21" t="b">
        <x:v>1</x:v>
      </x:c>
      <x:c r="P370" t="str">
        <x:v>P11-CA01</x:v>
      </x:c>
      <x:c r="Q370" t="str">
        <x:v>P11-WP011</x:v>
      </x:c>
      <x:c r="R370" t="str">
        <x:v>Task</x:v>
      </x:c>
      <x:c r="S370" t="str">
        <x:v>Project-type realism</x:v>
      </x:c>
      <x:c r="T370" t="str">
        <x:v>Source-derived / reconstructed network</x:v>
      </x:c>
      <x:c r="U370" s="54" t="n">
        <x:v>45748</x:v>
      </x:c>
      <x:c r="V370" s="54" t="n">
        <x:v>45768</x:v>
      </x:c>
      <x:c r="W370" s="54" t="n">
        <x:v>45748</x:v>
      </x:c>
      <x:c r="X370" s="54" t="n">
        <x:v>45768</x:v>
      </x:c>
      <x:c r="Y370" s="78" t="n">
        <x:v>0</x:v>
      </x:c>
    </x:row>
    <x:row r="371" ht="21" customHeight="1">
      <x:c r="A371" t="str">
        <x:v>P11-A2</x:v>
      </x:c>
      <x:c r="B371" t="str">
        <x:v>P11</x:v>
      </x:c>
      <x:c r="C371" t="str">
        <x:v>Project Definition &amp; Isolation-Zone Planning</x:v>
      </x:c>
      <x:c r="D371" t="str">
        <x:v>1.11.1.2</x:v>
      </x:c>
      <x:c r="E371" s="54" t="n">
        <x:v>45769</x:v>
      </x:c>
      <x:c r="F371" s="54" t="n">
        <x:v>45782</x:v>
      </x:c>
      <x:c r="G371" s="54"/>
      <x:c r="H371" s="54"/>
      <x:c r="I371" s="54"/>
      <x:c r="J371" s="54"/>
      <x:c r="K371" t="n">
        <x:v>10</x:v>
      </x:c>
      <x:c r="L371" t="str">
        <x:v>P11-A1</x:v>
      </x:c>
      <x:c r="M371"/>
      <x:c r="N371" s="21" t="b">
        <x:v>0</x:v>
      </x:c>
      <x:c r="O371" s="21" t="b">
        <x:v>1</x:v>
      </x:c>
      <x:c r="P371" t="str">
        <x:v>P11-CA01</x:v>
      </x:c>
      <x:c r="Q371" t="str">
        <x:v>P11-WP012</x:v>
      </x:c>
      <x:c r="R371" t="str">
        <x:v>Task</x:v>
      </x:c>
      <x:c r="S371" t="str">
        <x:v>Project-type realism</x:v>
      </x:c>
      <x:c r="T371" t="str">
        <x:v>Source-derived / reconstructed network</x:v>
      </x:c>
      <x:c r="U371" s="54" t="n">
        <x:v>45769</x:v>
      </x:c>
      <x:c r="V371" s="54" t="n">
        <x:v>45782</x:v>
      </x:c>
      <x:c r="W371" s="54" t="n">
        <x:v>45769</x:v>
      </x:c>
      <x:c r="X371" s="54" t="n">
        <x:v>45782</x:v>
      </x:c>
      <x:c r="Y371" s="78" t="n">
        <x:v>0</x:v>
      </x:c>
    </x:row>
    <x:row r="372" ht="21" customHeight="1">
      <x:c r="A372" t="str">
        <x:v>P11-A3</x:v>
      </x:c>
      <x:c r="B372" t="str">
        <x:v>P11</x:v>
      </x:c>
      <x:c r="C372" t="str">
        <x:v>Preliminary Design</x:v>
      </x:c>
      <x:c r="D372" t="str">
        <x:v>1.11.2.1</x:v>
      </x:c>
      <x:c r="E372" s="54" t="n">
        <x:v>45783</x:v>
      </x:c>
      <x:c r="F372" s="54" t="n">
        <x:v>45803</x:v>
      </x:c>
      <x:c r="G372" s="54"/>
      <x:c r="H372" s="54"/>
      <x:c r="I372" s="54"/>
      <x:c r="J372" s="54"/>
      <x:c r="K372" t="n">
        <x:v>15</x:v>
      </x:c>
      <x:c r="L372" t="str">
        <x:v>P11-A2</x:v>
      </x:c>
      <x:c r="M372"/>
      <x:c r="N372" s="21" t="b">
        <x:v>0</x:v>
      </x:c>
      <x:c r="O372" s="21" t="b">
        <x:v>1</x:v>
      </x:c>
      <x:c r="P372" t="str">
        <x:v>P11-CA02</x:v>
      </x:c>
      <x:c r="Q372" t="str">
        <x:v>P11-WP021</x:v>
      </x:c>
      <x:c r="R372" t="str">
        <x:v>Task</x:v>
      </x:c>
      <x:c r="S372" t="str">
        <x:v>Project-type realism</x:v>
      </x:c>
      <x:c r="T372" t="str">
        <x:v>Source-derived / reconstructed network</x:v>
      </x:c>
      <x:c r="U372" s="54" t="n">
        <x:v>45783</x:v>
      </x:c>
      <x:c r="V372" s="54" t="n">
        <x:v>45803</x:v>
      </x:c>
      <x:c r="W372" s="54" t="n">
        <x:v>45783</x:v>
      </x:c>
      <x:c r="X372" s="54" t="n">
        <x:v>45803</x:v>
      </x:c>
      <x:c r="Y372" s="78" t="n">
        <x:v>0</x:v>
      </x:c>
    </x:row>
    <x:row r="373" ht="21" customHeight="1">
      <x:c r="A373" t="str">
        <x:v>P11-A4</x:v>
      </x:c>
      <x:c r="B373" t="str">
        <x:v>P11</x:v>
      </x:c>
      <x:c r="C373" t="str">
        <x:v>Final Design</x:v>
      </x:c>
      <x:c r="D373" t="str">
        <x:v>1.11.2.2</x:v>
      </x:c>
      <x:c r="E373" s="54" t="n">
        <x:v>45811</x:v>
      </x:c>
      <x:c r="F373" s="54" t="n">
        <x:v>45831</x:v>
      </x:c>
      <x:c r="G373" s="54"/>
      <x:c r="H373" s="54"/>
      <x:c r="I373" s="54"/>
      <x:c r="J373" s="54"/>
      <x:c r="K373" t="n">
        <x:v>15</x:v>
      </x:c>
      <x:c r="L373" t="str">
        <x:v>P11-A3</x:v>
      </x:c>
      <x:c r="M373"/>
      <x:c r="N373" s="21" t="b">
        <x:v>0</x:v>
      </x:c>
      <x:c r="O373" s="21" t="b">
        <x:v>1</x:v>
      </x:c>
      <x:c r="P373" t="str">
        <x:v>P11-CA02</x:v>
      </x:c>
      <x:c r="Q373" t="str">
        <x:v>P11-WP022</x:v>
      </x:c>
      <x:c r="R373" t="str">
        <x:v>Task</x:v>
      </x:c>
      <x:c r="S373" t="str">
        <x:v>Project-type realism; +5bd review lag in logic</x:v>
      </x:c>
      <x:c r="T373" t="str">
        <x:v>Source-derived / reconstructed network</x:v>
      </x:c>
      <x:c r="U373" s="54" t="n">
        <x:v>45811</x:v>
      </x:c>
      <x:c r="V373" s="54" t="n">
        <x:v>45831</x:v>
      </x:c>
      <x:c r="W373" s="54" t="n">
        <x:v>45811</x:v>
      </x:c>
      <x:c r="X373" s="54" t="n">
        <x:v>45831</x:v>
      </x:c>
      <x:c r="Y373" s="78" t="n">
        <x:v>0</x:v>
      </x:c>
    </x:row>
    <x:row r="374" ht="21" customHeight="1">
      <x:c r="A374" t="str">
        <x:v>P11-A5</x:v>
      </x:c>
      <x:c r="B374" t="str">
        <x:v>P11</x:v>
      </x:c>
      <x:c r="C374" t="str">
        <x:v>Bid Advertisement</x:v>
      </x:c>
      <x:c r="D374" t="str">
        <x:v>1.11.3.1</x:v>
      </x:c>
      <x:c r="E374" s="54" t="n">
        <x:v>45825</x:v>
      </x:c>
      <x:c r="F374" s="54" t="n">
        <x:v>45845</x:v>
      </x:c>
      <x:c r="G374" s="54"/>
      <x:c r="H374" s="54"/>
      <x:c r="I374" s="54"/>
      <x:c r="J374" s="54"/>
      <x:c r="K374" t="n">
        <x:v>15</x:v>
      </x:c>
      <x:c r="L374" t="str">
        <x:v>P11-A4</x:v>
      </x:c>
      <x:c r="M374"/>
      <x:c r="N374" s="21" t="b">
        <x:v>0</x:v>
      </x:c>
      <x:c r="O374" s="21" t="b">
        <x:v>1</x:v>
      </x:c>
      <x:c r="P374" t="str">
        <x:v>P11-CA03</x:v>
      </x:c>
      <x:c r="Q374" t="str">
        <x:v>P11-WP031</x:v>
      </x:c>
      <x:c r="R374" t="str">
        <x:v>Task</x:v>
      </x:c>
      <x:c r="S374" t="str">
        <x:v>Project-type realism</x:v>
      </x:c>
      <x:c r="T374" t="str">
        <x:v>Source-derived / reconstructed network</x:v>
      </x:c>
      <x:c r="U374" s="54" t="n">
        <x:v>45825</x:v>
      </x:c>
      <x:c r="V374" s="54" t="n">
        <x:v>45845</x:v>
      </x:c>
      <x:c r="W374" s="54" t="n">
        <x:v>45825</x:v>
      </x:c>
      <x:c r="X374" s="54" t="n">
        <x:v>45845</x:v>
      </x:c>
      <x:c r="Y374" s="78" t="n">
        <x:v>0</x:v>
      </x:c>
    </x:row>
    <x:row r="375" ht="21" customHeight="1">
      <x:c r="A375" t="str">
        <x:v>P11-M1</x:v>
      </x:c>
      <x:c r="B375" t="str">
        <x:v>P11</x:v>
      </x:c>
      <x:c r="C375" t="str">
        <x:v>Design Complete</x:v>
      </x:c>
      <x:c r="D375" t="str">
        <x:v>1.11.4.1</x:v>
      </x:c>
      <x:c r="E375" s="54" t="n">
        <x:v>45831</x:v>
      </x:c>
      <x:c r="F375" s="54" t="n">
        <x:v>45831</x:v>
      </x:c>
      <x:c r="G375" s="54"/>
      <x:c r="H375" s="54"/>
      <x:c r="I375" s="54"/>
      <x:c r="J375" s="54"/>
      <x:c r="K375" t="n">
        <x:v>0</x:v>
      </x:c>
      <x:c r="L375" t="str">
        <x:v>P11-A4</x:v>
      </x:c>
      <x:c r="M375"/>
      <x:c r="N375" s="21" t="b">
        <x:v>1</x:v>
      </x:c>
      <x:c r="O375" s="21" t="b">
        <x:v>0</x:v>
      </x:c>
      <x:c r="P375" t="str">
        <x:v>P11-CA04</x:v>
      </x:c>
      <x:c r="Q375" t="str">
        <x:v>P11-WP041</x:v>
      </x:c>
      <x:c r="R375" t="str">
        <x:v>Milestone</x:v>
      </x:c>
      <x:c r="S375" t="str">
        <x:v>Approved milestone / interface milestone</x:v>
      </x:c>
      <x:c r="T375" t="str">
        <x:v>Source-explicit milestone date</x:v>
      </x:c>
      <x:c r="U375" s="54" t="n">
        <x:v>45831</x:v>
      </x:c>
      <x:c r="V375" s="54" t="n">
        <x:v>45831</x:v>
      </x:c>
      <x:c r="W375" s="54" t="n">
        <x:v>46090</x:v>
      </x:c>
      <x:c r="X375" s="54" t="n">
        <x:v>46090</x:v>
      </x:c>
      <x:c r="Y375" s="78" t="n">
        <x:v>185</x:v>
      </x:c>
    </x:row>
    <x:row r="376" ht="21" customHeight="1">
      <x:c r="A376" t="str">
        <x:v>P11-A5b</x:v>
      </x:c>
      <x:c r="B376" t="str">
        <x:v>P11</x:v>
      </x:c>
      <x:c r="C376" t="str">
        <x:v>Evaluation &amp; Award</x:v>
      </x:c>
      <x:c r="D376" t="str">
        <x:v>1.11.3.1</x:v>
      </x:c>
      <x:c r="E376" s="54" t="n">
        <x:v>45846</x:v>
      </x:c>
      <x:c r="F376" s="54" t="n">
        <x:v>45859</x:v>
      </x:c>
      <x:c r="G376" s="54"/>
      <x:c r="H376" s="54"/>
      <x:c r="I376" s="54"/>
      <x:c r="J376" s="54"/>
      <x:c r="K376" t="n">
        <x:v>10</x:v>
      </x:c>
      <x:c r="L376" t="str">
        <x:v>P11-A5</x:v>
      </x:c>
      <x:c r="M376"/>
      <x:c r="N376" s="21" t="b">
        <x:v>0</x:v>
      </x:c>
      <x:c r="O376" s="21" t="b">
        <x:v>1</x:v>
      </x:c>
      <x:c r="P376" t="str">
        <x:v>P11-CA03</x:v>
      </x:c>
      <x:c r="Q376" t="str">
        <x:v>P11-WP031</x:v>
      </x:c>
      <x:c r="R376" t="str">
        <x:v>Task</x:v>
      </x:c>
      <x:c r="S376" t="str">
        <x:v>Project-type realism</x:v>
      </x:c>
      <x:c r="T376" t="str">
        <x:v>Source-derived / reconstructed network</x:v>
      </x:c>
      <x:c r="U376" s="54" t="n">
        <x:v>45846</x:v>
      </x:c>
      <x:c r="V376" s="54" t="n">
        <x:v>45859</x:v>
      </x:c>
      <x:c r="W376" s="54" t="n">
        <x:v>45846</x:v>
      </x:c>
      <x:c r="X376" s="54" t="n">
        <x:v>45859</x:v>
      </x:c>
      <x:c r="Y376" s="78" t="n">
        <x:v>0</x:v>
      </x:c>
    </x:row>
    <x:row r="377" ht="21" customHeight="1">
      <x:c r="A377" t="str">
        <x:v>P11-A5c</x:v>
      </x:c>
      <x:c r="B377" t="str">
        <x:v>P11</x:v>
      </x:c>
      <x:c r="C377" t="str">
        <x:v>Governing Body Approval</x:v>
      </x:c>
      <x:c r="D377" t="str">
        <x:v>1.11.3.2</x:v>
      </x:c>
      <x:c r="E377" s="54" t="n">
        <x:v>45860</x:v>
      </x:c>
      <x:c r="F377" s="54" t="n">
        <x:v>45873</x:v>
      </x:c>
      <x:c r="G377" s="54"/>
      <x:c r="H377" s="54"/>
      <x:c r="I377" s="54"/>
      <x:c r="J377" s="54"/>
      <x:c r="K377" t="n">
        <x:v>10</x:v>
      </x:c>
      <x:c r="L377" t="str">
        <x:v>P11-A5b</x:v>
      </x:c>
      <x:c r="M377"/>
      <x:c r="N377" s="21" t="b">
        <x:v>0</x:v>
      </x:c>
      <x:c r="O377" s="21" t="b">
        <x:v>1</x:v>
      </x:c>
      <x:c r="P377" t="str">
        <x:v>P11-CA03</x:v>
      </x:c>
      <x:c r="Q377" t="str">
        <x:v>P11-WP032</x:v>
      </x:c>
      <x:c r="R377" t="str">
        <x:v>Task</x:v>
      </x:c>
      <x:c r="S377" t="str">
        <x:v>Project-type realism</x:v>
      </x:c>
      <x:c r="T377" t="str">
        <x:v>Source-derived / reconstructed network</x:v>
      </x:c>
      <x:c r="U377" s="54" t="n">
        <x:v>45860</x:v>
      </x:c>
      <x:c r="V377" s="54" t="n">
        <x:v>45873</x:v>
      </x:c>
      <x:c r="W377" s="54" t="n">
        <x:v>45860</x:v>
      </x:c>
      <x:c r="X377" s="54" t="n">
        <x:v>45873</x:v>
      </x:c>
      <x:c r="Y377" s="78" t="n">
        <x:v>0</x:v>
      </x:c>
    </x:row>
    <x:row r="378" ht="21" customHeight="1">
      <x:c r="A378" t="str">
        <x:v>P11-M2</x:v>
      </x:c>
      <x:c r="B378" t="str">
        <x:v>P11</x:v>
      </x:c>
      <x:c r="C378" t="str">
        <x:v>Contract Award / NTP</x:v>
      </x:c>
      <x:c r="D378" t="str">
        <x:v>1.11.4.1</x:v>
      </x:c>
      <x:c r="E378" s="54" t="n">
        <x:v>45880</x:v>
      </x:c>
      <x:c r="F378" s="54" t="n">
        <x:v>45880</x:v>
      </x:c>
      <x:c r="G378" s="54"/>
      <x:c r="H378" s="54"/>
      <x:c r="I378" s="54"/>
      <x:c r="J378" s="54"/>
      <x:c r="K378" t="n">
        <x:v>0</x:v>
      </x:c>
      <x:c r="L378" t="str">
        <x:v>P11-A5c</x:v>
      </x:c>
      <x:c r="M378"/>
      <x:c r="N378" s="21" t="b">
        <x:v>1</x:v>
      </x:c>
      <x:c r="O378" s="21" t="b">
        <x:v>1</x:v>
      </x:c>
      <x:c r="P378" t="str">
        <x:v>P11-CA04</x:v>
      </x:c>
      <x:c r="Q378" t="str">
        <x:v>P11-WP041</x:v>
      </x:c>
      <x:c r="R378" t="str">
        <x:v>Milestone</x:v>
      </x:c>
      <x:c r="S378" t="str">
        <x:v>Approved milestone / interface milestone</x:v>
      </x:c>
      <x:c r="T378" t="str">
        <x:v>Source-explicit milestone date</x:v>
      </x:c>
      <x:c r="U378" s="54" t="n">
        <x:v>45880</x:v>
      </x:c>
      <x:c r="V378" s="54" t="n">
        <x:v>45880</x:v>
      </x:c>
      <x:c r="W378" s="54" t="n">
        <x:v>45880</x:v>
      </x:c>
      <x:c r="X378" s="54" t="n">
        <x:v>45880</x:v>
      </x:c>
      <x:c r="Y378" s="78" t="n">
        <x:v>0</x:v>
      </x:c>
    </x:row>
    <x:row r="379" ht="21" customHeight="1">
      <x:c r="A379" t="str">
        <x:v>P11-A10</x:v>
      </x:c>
      <x:c r="B379" t="str">
        <x:v>P11</x:v>
      </x:c>
      <x:c r="C379" t="str">
        <x:v>Shutdown &amp; Customer/Service Coordination Planning</x:v>
      </x:c>
      <x:c r="D379" t="str">
        <x:v>1.11.4.1</x:v>
      </x:c>
      <x:c r="E379" s="54" t="n">
        <x:v>45881</x:v>
      </x:c>
      <x:c r="F379" s="54" t="n">
        <x:v>45901</x:v>
      </x:c>
      <x:c r="G379" s="54"/>
      <x:c r="H379" s="54"/>
      <x:c r="I379" s="54"/>
      <x:c r="J379" s="54"/>
      <x:c r="K379" t="n">
        <x:v>15</x:v>
      </x:c>
      <x:c r="L379" t="str">
        <x:v>P11-M2</x:v>
      </x:c>
      <x:c r="M379"/>
      <x:c r="N379" s="21" t="b">
        <x:v>0</x:v>
      </x:c>
      <x:c r="O379" s="21" t="b">
        <x:v>0</x:v>
      </x:c>
      <x:c r="P379" t="str">
        <x:v>P11-CA04</x:v>
      </x:c>
      <x:c r="Q379" t="str">
        <x:v>P11-WP041</x:v>
      </x:c>
      <x:c r="R379" t="str">
        <x:v>Task</x:v>
      </x:c>
      <x:c r="S379" t="str">
        <x:v>Project-type realism</x:v>
      </x:c>
      <x:c r="T379" t="str">
        <x:v>Source-derived / reconstructed network</x:v>
      </x:c>
      <x:c r="U379" s="54" t="n">
        <x:v>45881</x:v>
      </x:c>
      <x:c r="V379" s="54" t="n">
        <x:v>45901</x:v>
      </x:c>
      <x:c r="W379" s="54" t="n">
        <x:v>45895</x:v>
      </x:c>
      <x:c r="X379" s="54" t="n">
        <x:v>45915</x:v>
      </x:c>
      <x:c r="Y379" s="78" t="n">
        <x:v>10</x:v>
      </x:c>
    </x:row>
    <x:row r="380" ht="21" customHeight="1">
      <x:c r="A380" t="str">
        <x:v>P11-A6</x:v>
      </x:c>
      <x:c r="B380" t="str">
        <x:v>P11</x:v>
      </x:c>
      <x:c r="C380" t="str">
        <x:v>Mobilization</x:v>
      </x:c>
      <x:c r="D380" t="str">
        <x:v>1.11.3.2</x:v>
      </x:c>
      <x:c r="E380" s="54" t="n">
        <x:v>45881</x:v>
      </x:c>
      <x:c r="F380" s="54" t="n">
        <x:v>45894</x:v>
      </x:c>
      <x:c r="G380" s="54"/>
      <x:c r="H380" s="54"/>
      <x:c r="I380" s="54"/>
      <x:c r="J380" s="54"/>
      <x:c r="K380" t="n">
        <x:v>10</x:v>
      </x:c>
      <x:c r="L380" t="str">
        <x:v>P11-M2</x:v>
      </x:c>
      <x:c r="M380"/>
      <x:c r="N380" s="21" t="b">
        <x:v>0</x:v>
      </x:c>
      <x:c r="O380" s="21" t="b">
        <x:v>0</x:v>
      </x:c>
      <x:c r="P380" t="str">
        <x:v>P11-CA03</x:v>
      </x:c>
      <x:c r="Q380" t="str">
        <x:v>P11-WP032</x:v>
      </x:c>
      <x:c r="R380" t="str">
        <x:v>Task</x:v>
      </x:c>
      <x:c r="S380" t="str">
        <x:v>Project-type realism</x:v>
      </x:c>
      <x:c r="T380" t="str">
        <x:v>Source-derived / reconstructed network</x:v>
      </x:c>
      <x:c r="U380" s="54" t="n">
        <x:v>45881</x:v>
      </x:c>
      <x:c r="V380" s="54" t="n">
        <x:v>45894</x:v>
      </x:c>
      <x:c r="W380" s="54" t="n">
        <x:v>45902</x:v>
      </x:c>
      <x:c r="X380" s="54" t="n">
        <x:v>45915</x:v>
      </x:c>
      <x:c r="Y380" s="78" t="n">
        <x:v>15</x:v>
      </x:c>
    </x:row>
    <x:row r="381" ht="21" customHeight="1">
      <x:c r="A381" t="str">
        <x:v>P11-A7</x:v>
      </x:c>
      <x:c r="B381" t="str">
        <x:v>P11</x:v>
      </x:c>
      <x:c r="C381" t="str">
        <x:v>Field Verification / Utility Locating</x:v>
      </x:c>
      <x:c r="D381" t="str">
        <x:v>1.11.5.1</x:v>
      </x:c>
      <x:c r="E381" s="54" t="n">
        <x:v>45881</x:v>
      </x:c>
      <x:c r="F381" s="54" t="n">
        <x:v>45901</x:v>
      </x:c>
      <x:c r="G381" s="54"/>
      <x:c r="H381" s="54"/>
      <x:c r="I381" s="54"/>
      <x:c r="J381" s="54"/>
      <x:c r="K381" t="n">
        <x:v>15</x:v>
      </x:c>
      <x:c r="L381" t="str">
        <x:v>P11-M2</x:v>
      </x:c>
      <x:c r="M381"/>
      <x:c r="N381" s="21" t="b">
        <x:v>0</x:v>
      </x:c>
      <x:c r="O381" s="21" t="b">
        <x:v>0</x:v>
      </x:c>
      <x:c r="P381" t="str">
        <x:v>P11-CA05</x:v>
      </x:c>
      <x:c r="Q381" t="str">
        <x:v>P11-WP051</x:v>
      </x:c>
      <x:c r="R381" t="str">
        <x:v>Task</x:v>
      </x:c>
      <x:c r="S381" t="str">
        <x:v>Project-type realism</x:v>
      </x:c>
      <x:c r="T381" t="str">
        <x:v>Source-derived / reconstructed network</x:v>
      </x:c>
      <x:c r="U381" s="54" t="n">
        <x:v>45881</x:v>
      </x:c>
      <x:c r="V381" s="54" t="n">
        <x:v>45901</x:v>
      </x:c>
      <x:c r="W381" s="54" t="n">
        <x:v>45895</x:v>
      </x:c>
      <x:c r="X381" s="54" t="n">
        <x:v>45915</x:v>
      </x:c>
      <x:c r="Y381" s="78" t="n">
        <x:v>10</x:v>
      </x:c>
    </x:row>
    <x:row r="382" ht="21" customHeight="1">
      <x:c r="A382" t="str">
        <x:v>P11-A8</x:v>
      </x:c>
      <x:c r="B382" t="str">
        <x:v>P11</x:v>
      </x:c>
      <x:c r="C382" t="str">
        <x:v>Traffic / Street-Opening Coordination &amp; Permitting</x:v>
      </x:c>
      <x:c r="D382" t="str">
        <x:v>1.11.2.2</x:v>
      </x:c>
      <x:c r="E382" s="54" t="n">
        <x:v>45881</x:v>
      </x:c>
      <x:c r="F382" s="54" t="n">
        <x:v>45894</x:v>
      </x:c>
      <x:c r="G382" s="54"/>
      <x:c r="H382" s="54"/>
      <x:c r="I382" s="54"/>
      <x:c r="J382" s="54"/>
      <x:c r="K382" t="n">
        <x:v>10</x:v>
      </x:c>
      <x:c r="L382" t="str">
        <x:v>P11-M2</x:v>
      </x:c>
      <x:c r="M382"/>
      <x:c r="N382" s="21" t="b">
        <x:v>0</x:v>
      </x:c>
      <x:c r="O382" s="21" t="b">
        <x:v>0</x:v>
      </x:c>
      <x:c r="P382" t="str">
        <x:v>P11-CA02</x:v>
      </x:c>
      <x:c r="Q382" t="str">
        <x:v>P11-WP022</x:v>
      </x:c>
      <x:c r="R382" t="str">
        <x:v>Task</x:v>
      </x:c>
      <x:c r="S382" t="str">
        <x:v>Project-type realism</x:v>
      </x:c>
      <x:c r="T382" t="str">
        <x:v>Source-derived / reconstructed network</x:v>
      </x:c>
      <x:c r="U382" s="54" t="n">
        <x:v>45881</x:v>
      </x:c>
      <x:c r="V382" s="54" t="n">
        <x:v>45894</x:v>
      </x:c>
      <x:c r="W382" s="54" t="n">
        <x:v>45902</x:v>
      </x:c>
      <x:c r="X382" s="54" t="n">
        <x:v>45915</x:v>
      </x:c>
      <x:c r="Y382" s="78" t="n">
        <x:v>15</x:v>
      </x:c>
    </x:row>
    <x:row r="383" ht="21" customHeight="1">
      <x:c r="A383" t="str">
        <x:v>P11-A9</x:v>
      </x:c>
      <x:c r="B383" t="str">
        <x:v>P11</x:v>
      </x:c>
      <x:c r="C383" t="str">
        <x:v>Material Procurement — Valves &amp; Fittings</x:v>
      </x:c>
      <x:c r="D383" t="str">
        <x:v>1.11.4.1</x:v>
      </x:c>
      <x:c r="E383" s="54" t="n">
        <x:v>45881</x:v>
      </x:c>
      <x:c r="F383" s="54" t="n">
        <x:v>45915</x:v>
      </x:c>
      <x:c r="G383" s="54"/>
      <x:c r="H383" s="54"/>
      <x:c r="I383" s="54"/>
      <x:c r="J383" s="54"/>
      <x:c r="K383" t="n">
        <x:v>25</x:v>
      </x:c>
      <x:c r="L383" t="str">
        <x:v>P11-M2</x:v>
      </x:c>
      <x:c r="M383"/>
      <x:c r="N383" s="21" t="b">
        <x:v>0</x:v>
      </x:c>
      <x:c r="O383" s="21" t="b">
        <x:v>1</x:v>
      </x:c>
      <x:c r="P383" t="str">
        <x:v>P11-CA04</x:v>
      </x:c>
      <x:c r="Q383" t="str">
        <x:v>P11-WP041</x:v>
      </x:c>
      <x:c r="R383" t="str">
        <x:v>Task</x:v>
      </x:c>
      <x:c r="S383" t="str">
        <x:v>Synthetic, industry-informed planning assumption</x:v>
      </x:c>
      <x:c r="T383" t="str">
        <x:v>Source-derived / reconstructed network</x:v>
      </x:c>
      <x:c r="U383" s="54" t="n">
        <x:v>45881</x:v>
      </x:c>
      <x:c r="V383" s="54" t="n">
        <x:v>45915</x:v>
      </x:c>
      <x:c r="W383" s="54" t="n">
        <x:v>45881</x:v>
      </x:c>
      <x:c r="X383" s="54" t="n">
        <x:v>45915</x:v>
      </x:c>
      <x:c r="Y383" s="78" t="n">
        <x:v>0</x:v>
      </x:c>
    </x:row>
    <x:row r="384" ht="21" customHeight="1">
      <x:c r="A384" t="str">
        <x:v>P11-AFIRST</x:v>
      </x:c>
      <x:c r="B384" t="str">
        <x:v>P11</x:v>
      </x:c>
      <x:c r="C384" t="str">
        <x:v>Complete First Valve Replacement</x:v>
      </x:c>
      <x:c r="D384" t="str">
        <x:v>1.11.4.1</x:v>
      </x:c>
      <x:c r="E384" s="54" t="n">
        <x:v>45916</x:v>
      </x:c>
      <x:c r="F384" s="54" t="n">
        <x:v>45917</x:v>
      </x:c>
      <x:c r="G384" s="54"/>
      <x:c r="H384" s="54"/>
      <x:c r="I384" s="54"/>
      <x:c r="J384" s="54"/>
      <x:c r="K384" t="n">
        <x:v>2</x:v>
      </x:c>
      <x:c r="L384" t="str">
        <x:v>P11-B1inst</x:v>
      </x:c>
      <x:c r="M384"/>
      <x:c r="N384" s="21" t="b">
        <x:v>0</x:v>
      </x:c>
      <x:c r="O384" s="21" t="b">
        <x:v>0</x:v>
      </x:c>
      <x:c r="P384" t="str">
        <x:v>P11-CA04</x:v>
      </x:c>
      <x:c r="Q384" t="str">
        <x:v>P11-WP041</x:v>
      </x:c>
      <x:c r="R384" t="str">
        <x:v>Task</x:v>
      </x:c>
      <x:c r="S384" t="str">
        <x:v>Project-type realism</x:v>
      </x:c>
      <x:c r="T384" t="str">
        <x:v>Source-derived / reconstructed network</x:v>
      </x:c>
      <x:c r="U384" s="54" t="n">
        <x:v>45916</x:v>
      </x:c>
      <x:c r="V384" s="54" t="n">
        <x:v>45917</x:v>
      </x:c>
      <x:c r="W384" s="54" t="n">
        <x:v>46087</x:v>
      </x:c>
      <x:c r="X384" s="54" t="n">
        <x:v>46090</x:v>
      </x:c>
      <x:c r="Y384" s="78" t="n">
        <x:v>123</x:v>
      </x:c>
    </x:row>
    <x:row r="385" ht="21" customHeight="1">
      <x:c r="A385" t="str">
        <x:v>P11-B1inst</x:v>
      </x:c>
      <x:c r="B385" t="str">
        <x:v>P11</x:v>
      </x:c>
      <x:c r="C385" t="str">
        <x:v>Batch 1 Valve Installation</x:v>
      </x:c>
      <x:c r="D385" t="str">
        <x:v>1.11.4.1</x:v>
      </x:c>
      <x:c r="E385" s="54" t="n">
        <x:v>45916</x:v>
      </x:c>
      <x:c r="F385" s="54" t="n">
        <x:v>45971</x:v>
      </x:c>
      <x:c r="G385" s="54"/>
      <x:c r="H385" s="54"/>
      <x:c r="I385" s="54"/>
      <x:c r="J385" s="54"/>
      <x:c r="K385" t="n">
        <x:v>40</x:v>
      </x:c>
      <x:c r="L385" t="str">
        <x:v>P11-A6, P11-A7, P11-A8, P11-A9, P11-A10</x:v>
      </x:c>
      <x:c r="M385"/>
      <x:c r="N385" s="21" t="b">
        <x:v>0</x:v>
      </x:c>
      <x:c r="O385" s="21" t="b">
        <x:v>1</x:v>
      </x:c>
      <x:c r="P385" t="str">
        <x:v>P11-CA04</x:v>
      </x:c>
      <x:c r="Q385" t="str">
        <x:v>P11-WP041</x:v>
      </x:c>
      <x:c r="R385" t="str">
        <x:v>Task</x:v>
      </x:c>
      <x:c r="S385" t="str">
        <x:v>Synthetic, industry-informed planning assumption</x:v>
      </x:c>
      <x:c r="T385" t="str">
        <x:v>Source-derived / reconstructed network</x:v>
      </x:c>
      <x:c r="U385" s="54" t="n">
        <x:v>45916</x:v>
      </x:c>
      <x:c r="V385" s="54" t="n">
        <x:v>45971</x:v>
      </x:c>
      <x:c r="W385" s="54" t="n">
        <x:v>45916</x:v>
      </x:c>
      <x:c r="X385" s="54" t="n">
        <x:v>45971</x:v>
      </x:c>
      <x:c r="Y385" s="78" t="n">
        <x:v>0</x:v>
      </x:c>
    </x:row>
    <x:row r="386" ht="21" customHeight="1">
      <x:c r="A386" t="str">
        <x:v>P11-MFIRST</x:v>
      </x:c>
      <x:c r="B386" t="str">
        <x:v>P11</x:v>
      </x:c>
      <x:c r="C386" t="str">
        <x:v>MFIRST</x:v>
      </x:c>
      <x:c r="D386" t="str">
        <x:v>1.11.4.1</x:v>
      </x:c>
      <x:c r="E386" s="54" t="n">
        <x:v>45917</x:v>
      </x:c>
      <x:c r="F386" s="54" t="n">
        <x:v>45917</x:v>
      </x:c>
      <x:c r="G386" s="54"/>
      <x:c r="H386" s="54"/>
      <x:c r="I386" s="54"/>
      <x:c r="J386" s="54"/>
      <x:c r="K386" t="n">
        <x:v>0</x:v>
      </x:c>
      <x:c r="L386" t="str">
        <x:v>P11-AFIRST</x:v>
      </x:c>
      <x:c r="M386"/>
      <x:c r="N386" s="21" t="b">
        <x:v>1</x:v>
      </x:c>
      <x:c r="O386" s="21" t="b">
        <x:v>0</x:v>
      </x:c>
      <x:c r="P386" t="str">
        <x:v>P11-CA04</x:v>
      </x:c>
      <x:c r="Q386" t="str">
        <x:v>P11-WP041</x:v>
      </x:c>
      <x:c r="R386" t="str">
        <x:v>Milestone</x:v>
      </x:c>
      <x:c r="S386" t="str">
        <x:v>Approved milestone / interface milestone</x:v>
      </x:c>
      <x:c r="T386" t="str">
        <x:v>Source-explicit milestone date</x:v>
      </x:c>
      <x:c r="U386" s="54" t="n">
        <x:v>45917</x:v>
      </x:c>
      <x:c r="V386" s="54" t="n">
        <x:v>45917</x:v>
      </x:c>
      <x:c r="W386" s="54" t="n">
        <x:v>46090</x:v>
      </x:c>
      <x:c r="X386" s="54" t="n">
        <x:v>46090</x:v>
      </x:c>
      <x:c r="Y386" s="78" t="n">
        <x:v>123</x:v>
      </x:c>
    </x:row>
    <x:row r="387" ht="21" customHeight="1">
      <x:c r="A387" t="str">
        <x:v>P11-B1rest</x:v>
      </x:c>
      <x:c r="B387" t="str">
        <x:v>P11</x:v>
      </x:c>
      <x:c r="C387" t="str">
        <x:v>Batch 1 Restoration</x:v>
      </x:c>
      <x:c r="D387" t="str">
        <x:v>1.11.4.3</x:v>
      </x:c>
      <x:c r="E387" s="54" t="n">
        <x:v>45944</x:v>
      </x:c>
      <x:c r="F387" s="54" t="n">
        <x:v>45999</x:v>
      </x:c>
      <x:c r="G387" s="54"/>
      <x:c r="H387" s="54"/>
      <x:c r="I387" s="54"/>
      <x:c r="J387" s="54"/>
      <x:c r="K387" t="n">
        <x:v>40</x:v>
      </x:c>
      <x:c r="L387" t="str">
        <x:v>P11-B1inst</x:v>
      </x:c>
      <x:c r="M387"/>
      <x:c r="N387" s="21" t="b">
        <x:v>0</x:v>
      </x:c>
      <x:c r="O387" s="21" t="b">
        <x:v>0</x:v>
      </x:c>
      <x:c r="P387" t="str">
        <x:v>P11-CA04</x:v>
      </x:c>
      <x:c r="Q387" t="str">
        <x:v>P11-WP043</x:v>
      </x:c>
      <x:c r="R387" t="str">
        <x:v>Task</x:v>
      </x:c>
      <x:c r="S387" t="str">
        <x:v>Project-type realism</x:v>
      </x:c>
      <x:c r="T387" t="str">
        <x:v>Recovered by reconciliation to approved P11 milestone dates and published durations</x:v>
      </x:c>
      <x:c r="U387" s="54" t="n">
        <x:v>45944</x:v>
      </x:c>
      <x:c r="V387" s="54" t="n">
        <x:v>45999</x:v>
      </x:c>
      <x:c r="W387" s="54" t="n">
        <x:v>45979</x:v>
      </x:c>
      <x:c r="X387" s="54" t="n">
        <x:v>46034</x:v>
      </x:c>
      <x:c r="Y387" s="78" t="n">
        <x:v>25</x:v>
      </x:c>
    </x:row>
    <x:row r="388" ht="21" customHeight="1">
      <x:c r="A388" t="str">
        <x:v>P11-B2inst</x:v>
      </x:c>
      <x:c r="B388" t="str">
        <x:v>P11</x:v>
      </x:c>
      <x:c r="C388" t="str">
        <x:v>Batch 2 Valve Installation</x:v>
      </x:c>
      <x:c r="D388" t="str">
        <x:v>1.11.4.1</x:v>
      </x:c>
      <x:c r="E388" s="54" t="n">
        <x:v>45951</x:v>
      </x:c>
      <x:c r="F388" s="54" t="n">
        <x:v>46006</x:v>
      </x:c>
      <x:c r="G388" s="54"/>
      <x:c r="H388" s="54"/>
      <x:c r="I388" s="54"/>
      <x:c r="J388" s="54"/>
      <x:c r="K388" t="n">
        <x:v>40</x:v>
      </x:c>
      <x:c r="L388" t="str">
        <x:v>P11-B1inst</x:v>
      </x:c>
      <x:c r="M388"/>
      <x:c r="N388" s="21" t="b">
        <x:v>0</x:v>
      </x:c>
      <x:c r="O388" s="21" t="b">
        <x:v>1</x:v>
      </x:c>
      <x:c r="P388" t="str">
        <x:v>P11-CA04</x:v>
      </x:c>
      <x:c r="Q388" t="str">
        <x:v>P11-WP041</x:v>
      </x:c>
      <x:c r="R388" t="str">
        <x:v>Task</x:v>
      </x:c>
      <x:c r="S388" t="str">
        <x:v>Synthetic, industry-informed planning assumption</x:v>
      </x:c>
      <x:c r="T388" t="str">
        <x:v>Source-derived / reconstructed network</x:v>
      </x:c>
      <x:c r="U388" s="54" t="n">
        <x:v>45951</x:v>
      </x:c>
      <x:c r="V388" s="54" t="n">
        <x:v>46006</x:v>
      </x:c>
      <x:c r="W388" s="54" t="n">
        <x:v>45951</x:v>
      </x:c>
      <x:c r="X388" s="54" t="n">
        <x:v>46006</x:v>
      </x:c>
      <x:c r="Y388" s="78" t="n">
        <x:v>0</x:v>
      </x:c>
    </x:row>
    <x:row r="389" ht="21" customHeight="1">
      <x:c r="A389" t="str">
        <x:v>P11-MBATCH1</x:v>
      </x:c>
      <x:c r="B389" t="str">
        <x:v>P11</x:v>
      </x:c>
      <x:c r="C389" t="str">
        <x:v>MBATCH1</x:v>
      </x:c>
      <x:c r="D389" t="str">
        <x:v>1.11.4.1</x:v>
      </x:c>
      <x:c r="E389" s="54" t="n">
        <x:v>45971</x:v>
      </x:c>
      <x:c r="F389" s="54" t="n">
        <x:v>45971</x:v>
      </x:c>
      <x:c r="G389" s="54"/>
      <x:c r="H389" s="54"/>
      <x:c r="I389" s="54"/>
      <x:c r="J389" s="54"/>
      <x:c r="K389" t="n">
        <x:v>0</x:v>
      </x:c>
      <x:c r="L389" t="str">
        <x:v>P11-B1inst</x:v>
      </x:c>
      <x:c r="M389"/>
      <x:c r="N389" s="21" t="b">
        <x:v>1</x:v>
      </x:c>
      <x:c r="O389" s="21" t="b">
        <x:v>0</x:v>
      </x:c>
      <x:c r="P389" t="str">
        <x:v>P11-CA04</x:v>
      </x:c>
      <x:c r="Q389" t="str">
        <x:v>P11-WP041</x:v>
      </x:c>
      <x:c r="R389" t="str">
        <x:v>Milestone</x:v>
      </x:c>
      <x:c r="S389" t="str">
        <x:v>Approved milestone / interface milestone</x:v>
      </x:c>
      <x:c r="T389" t="str">
        <x:v>Source-explicit milestone date</x:v>
      </x:c>
      <x:c r="U389" s="54" t="n">
        <x:v>45971</x:v>
      </x:c>
      <x:c r="V389" s="54" t="n">
        <x:v>45971</x:v>
      </x:c>
      <x:c r="W389" s="54" t="n">
        <x:v>46090</x:v>
      </x:c>
      <x:c r="X389" s="54" t="n">
        <x:v>46090</x:v>
      </x:c>
      <x:c r="Y389" s="78" t="n">
        <x:v>85</x:v>
      </x:c>
    </x:row>
    <x:row r="390" ht="21" customHeight="1">
      <x:c r="A390" t="str">
        <x:v>P11-B1test</x:v>
      </x:c>
      <x:c r="B390" t="str">
        <x:v>P11</x:v>
      </x:c>
      <x:c r="C390" t="str">
        <x:v>Batch 1 Testing / Return to Service</x:v>
      </x:c>
      <x:c r="D390" t="str">
        <x:v>1.11.5.1</x:v>
      </x:c>
      <x:c r="E390" s="54" t="n">
        <x:v>45972</x:v>
      </x:c>
      <x:c r="F390" s="54" t="n">
        <x:v>45985</x:v>
      </x:c>
      <x:c r="G390" s="54"/>
      <x:c r="H390" s="54"/>
      <x:c r="I390" s="54"/>
      <x:c r="J390" s="54"/>
      <x:c r="K390" t="n">
        <x:v>10</x:v>
      </x:c>
      <x:c r="L390" t="str">
        <x:v>P11-B1inst</x:v>
      </x:c>
      <x:c r="M390"/>
      <x:c r="N390" s="21" t="b">
        <x:v>0</x:v>
      </x:c>
      <x:c r="O390" s="21" t="b">
        <x:v>0</x:v>
      </x:c>
      <x:c r="P390" t="str">
        <x:v>P11-CA05</x:v>
      </x:c>
      <x:c r="Q390" t="str">
        <x:v>P11-WP051</x:v>
      </x:c>
      <x:c r="R390" t="str">
        <x:v>Task</x:v>
      </x:c>
      <x:c r="S390" t="str">
        <x:v>Project-type realism</x:v>
      </x:c>
      <x:c r="T390" t="str">
        <x:v>Source-derived / reconstructed network</x:v>
      </x:c>
      <x:c r="U390" s="54" t="n">
        <x:v>45972</x:v>
      </x:c>
      <x:c r="V390" s="54" t="n">
        <x:v>45985</x:v>
      </x:c>
      <x:c r="W390" s="54" t="n">
        <x:v>46077</x:v>
      </x:c>
      <x:c r="X390" s="54" t="n">
        <x:v>46090</x:v>
      </x:c>
      <x:c r="Y390" s="78" t="n">
        <x:v>75</x:v>
      </x:c>
    </x:row>
    <x:row r="391" ht="21" customHeight="1">
      <x:c r="A391" t="str">
        <x:v>P11-B2rest</x:v>
      </x:c>
      <x:c r="B391" t="str">
        <x:v>P11</x:v>
      </x:c>
      <x:c r="C391" t="str">
        <x:v>Batch 2 Restoration</x:v>
      </x:c>
      <x:c r="D391" t="str">
        <x:v>1.11.4.3</x:v>
      </x:c>
      <x:c r="E391" s="54" t="n">
        <x:v>45979</x:v>
      </x:c>
      <x:c r="F391" s="54" t="n">
        <x:v>46034</x:v>
      </x:c>
      <x:c r="G391" s="54"/>
      <x:c r="H391" s="54"/>
      <x:c r="I391" s="54"/>
      <x:c r="J391" s="54"/>
      <x:c r="K391" t="n">
        <x:v>40</x:v>
      </x:c>
      <x:c r="L391" t="str">
        <x:v>P11-B2inst</x:v>
      </x:c>
      <x:c r="M391"/>
      <x:c r="N391" s="21" t="b">
        <x:v>0</x:v>
      </x:c>
      <x:c r="O391" s="21" t="b">
        <x:v>1</x:v>
      </x:c>
      <x:c r="P391" t="str">
        <x:v>P11-CA04</x:v>
      </x:c>
      <x:c r="Q391" t="str">
        <x:v>P11-WP043</x:v>
      </x:c>
      <x:c r="R391" t="str">
        <x:v>Task</x:v>
      </x:c>
      <x:c r="S391" t="str">
        <x:v>Project-type realism</x:v>
      </x:c>
      <x:c r="T391" t="str">
        <x:v>Recovered by reconciliation to approved P11 milestone dates and published durations</x:v>
      </x:c>
      <x:c r="U391" s="54" t="n">
        <x:v>45979</x:v>
      </x:c>
      <x:c r="V391" s="54" t="n">
        <x:v>46034</x:v>
      </x:c>
      <x:c r="W391" s="54" t="n">
        <x:v>45979</x:v>
      </x:c>
      <x:c r="X391" s="54" t="n">
        <x:v>46034</x:v>
      </x:c>
      <x:c r="Y391" s="78" t="n">
        <x:v>0</x:v>
      </x:c>
    </x:row>
    <x:row r="392" ht="21" customHeight="1">
      <x:c r="A392" t="str">
        <x:v>P11-B1gis</x:v>
      </x:c>
      <x:c r="B392" t="str">
        <x:v>P11</x:v>
      </x:c>
      <x:c r="C392" t="str">
        <x:v>Batch 1 Records/GIS Update</x:v>
      </x:c>
      <x:c r="D392" t="str">
        <x:v>1.11.6.1</x:v>
      </x:c>
      <x:c r="E392" s="54" t="n">
        <x:v>46000</x:v>
      </x:c>
      <x:c r="F392" s="54" t="n">
        <x:v>46013</x:v>
      </x:c>
      <x:c r="G392" s="54"/>
      <x:c r="H392" s="54"/>
      <x:c r="I392" s="54"/>
      <x:c r="J392" s="54"/>
      <x:c r="K392" t="n">
        <x:v>10</x:v>
      </x:c>
      <x:c r="L392" t="str">
        <x:v>P11-B1rest</x:v>
      </x:c>
      <x:c r="M392"/>
      <x:c r="N392" s="21" t="b">
        <x:v>0</x:v>
      </x:c>
      <x:c r="O392" s="21" t="b">
        <x:v>0</x:v>
      </x:c>
      <x:c r="P392" t="str">
        <x:v>P11-CA06</x:v>
      </x:c>
      <x:c r="Q392" t="str">
        <x:v>P11-WP061</x:v>
      </x:c>
      <x:c r="R392" t="str">
        <x:v>Task</x:v>
      </x:c>
      <x:c r="S392" t="str">
        <x:v>Project-type realism</x:v>
      </x:c>
      <x:c r="T392" t="str">
        <x:v>Recovered by reconciliation to approved P11 milestone dates and published durations</x:v>
      </x:c>
      <x:c r="U392" s="54" t="n">
        <x:v>46000</x:v>
      </x:c>
      <x:c r="V392" s="54" t="n">
        <x:v>46013</x:v>
      </x:c>
      <x:c r="W392" s="54" t="n">
        <x:v>46035</x:v>
      </x:c>
      <x:c r="X392" s="54" t="n">
        <x:v>46048</x:v>
      </x:c>
      <x:c r="Y392" s="78" t="n">
        <x:v>25</x:v>
      </x:c>
    </x:row>
    <x:row r="393" ht="21" customHeight="1">
      <x:c r="A393" t="str">
        <x:v>P11-MTARGET</x:v>
      </x:c>
      <x:c r="B393" t="str">
        <x:v>P11</x:v>
      </x:c>
      <x:c r="C393" t="str">
        <x:v>MTARGET</x:v>
      </x:c>
      <x:c r="D393" t="str">
        <x:v>1.11.4.1</x:v>
      </x:c>
      <x:c r="E393" s="54" t="n">
        <x:v>46006</x:v>
      </x:c>
      <x:c r="F393" s="54" t="n">
        <x:v>46006</x:v>
      </x:c>
      <x:c r="G393" s="54"/>
      <x:c r="H393" s="54"/>
      <x:c r="I393" s="54"/>
      <x:c r="J393" s="54"/>
      <x:c r="K393" t="n">
        <x:v>0</x:v>
      </x:c>
      <x:c r="L393" t="str">
        <x:v>P11-B2inst</x:v>
      </x:c>
      <x:c r="M393"/>
      <x:c r="N393" s="21" t="b">
        <x:v>1</x:v>
      </x:c>
      <x:c r="O393" s="21" t="b">
        <x:v>0</x:v>
      </x:c>
      <x:c r="P393" t="str">
        <x:v>P11-CA04</x:v>
      </x:c>
      <x:c r="Q393" t="str">
        <x:v>P11-WP041</x:v>
      </x:c>
      <x:c r="R393" t="str">
        <x:v>Milestone</x:v>
      </x:c>
      <x:c r="S393" t="str">
        <x:v>Approved milestone / interface milestone</x:v>
      </x:c>
      <x:c r="T393" t="str">
        <x:v>Source-explicit milestone date</x:v>
      </x:c>
      <x:c r="U393" s="54" t="n">
        <x:v>46006</x:v>
      </x:c>
      <x:c r="V393" s="54" t="n">
        <x:v>46006</x:v>
      </x:c>
      <x:c r="W393" s="54" t="n">
        <x:v>46090</x:v>
      </x:c>
      <x:c r="X393" s="54" t="n">
        <x:v>46090</x:v>
      </x:c>
      <x:c r="Y393" s="78" t="n">
        <x:v>60</x:v>
      </x:c>
    </x:row>
    <x:row r="394" ht="21" customHeight="1">
      <x:c r="A394" t="str">
        <x:v>P11-B2test</x:v>
      </x:c>
      <x:c r="B394" t="str">
        <x:v>P11</x:v>
      </x:c>
      <x:c r="C394" t="str">
        <x:v>Batch 2 Testing / Return to Service</x:v>
      </x:c>
      <x:c r="D394" t="str">
        <x:v>1.11.5.1</x:v>
      </x:c>
      <x:c r="E394" s="54" t="n">
        <x:v>46007</x:v>
      </x:c>
      <x:c r="F394" s="54" t="n">
        <x:v>46020</x:v>
      </x:c>
      <x:c r="G394" s="54"/>
      <x:c r="H394" s="54"/>
      <x:c r="I394" s="54"/>
      <x:c r="J394" s="54"/>
      <x:c r="K394" t="n">
        <x:v>10</x:v>
      </x:c>
      <x:c r="L394" t="str">
        <x:v>P11-B2inst</x:v>
      </x:c>
      <x:c r="M394"/>
      <x:c r="N394" s="21" t="b">
        <x:v>0</x:v>
      </x:c>
      <x:c r="O394" s="21" t="b">
        <x:v>0</x:v>
      </x:c>
      <x:c r="P394" t="str">
        <x:v>P11-CA05</x:v>
      </x:c>
      <x:c r="Q394" t="str">
        <x:v>P11-WP051</x:v>
      </x:c>
      <x:c r="R394" t="str">
        <x:v>Task</x:v>
      </x:c>
      <x:c r="S394" t="str">
        <x:v>Project-type realism</x:v>
      </x:c>
      <x:c r="T394" t="str">
        <x:v>Source-derived / reconstructed network</x:v>
      </x:c>
      <x:c r="U394" s="54" t="n">
        <x:v>46007</x:v>
      </x:c>
      <x:c r="V394" s="54" t="n">
        <x:v>46020</x:v>
      </x:c>
      <x:c r="W394" s="54" t="n">
        <x:v>46077</x:v>
      </x:c>
      <x:c r="X394" s="54" t="n">
        <x:v>46090</x:v>
      </x:c>
      <x:c r="Y394" s="78" t="n">
        <x:v>50</x:v>
      </x:c>
    </x:row>
    <x:row r="395" ht="21" customHeight="1">
      <x:c r="A395" t="str">
        <x:v>P11-B2gis</x:v>
      </x:c>
      <x:c r="B395" t="str">
        <x:v>P11</x:v>
      </x:c>
      <x:c r="C395" t="str">
        <x:v>Batch 2 Records/GIS Update</x:v>
      </x:c>
      <x:c r="D395" t="str">
        <x:v>1.11.6.1</x:v>
      </x:c>
      <x:c r="E395" s="54" t="n">
        <x:v>46035</x:v>
      </x:c>
      <x:c r="F395" s="54" t="n">
        <x:v>46048</x:v>
      </x:c>
      <x:c r="G395" s="54"/>
      <x:c r="H395" s="54"/>
      <x:c r="I395" s="54"/>
      <x:c r="J395" s="54"/>
      <x:c r="K395" t="n">
        <x:v>10</x:v>
      </x:c>
      <x:c r="L395" t="str">
        <x:v>P11-B2rest</x:v>
      </x:c>
      <x:c r="M395"/>
      <x:c r="N395" s="21" t="b">
        <x:v>0</x:v>
      </x:c>
      <x:c r="O395" s="21" t="b">
        <x:v>1</x:v>
      </x:c>
      <x:c r="P395" t="str">
        <x:v>P11-CA06</x:v>
      </x:c>
      <x:c r="Q395" t="str">
        <x:v>P11-WP061</x:v>
      </x:c>
      <x:c r="R395" t="str">
        <x:v>Task</x:v>
      </x:c>
      <x:c r="S395" t="str">
        <x:v>Project-type realism</x:v>
      </x:c>
      <x:c r="T395" t="str">
        <x:v>Recovered by reconciliation to approved P11 milestone dates and published durations</x:v>
      </x:c>
      <x:c r="U395" s="54" t="n">
        <x:v>46035</x:v>
      </x:c>
      <x:c r="V395" s="54" t="n">
        <x:v>46048</x:v>
      </x:c>
      <x:c r="W395" s="54" t="n">
        <x:v>46035</x:v>
      </x:c>
      <x:c r="X395" s="54" t="n">
        <x:v>46048</x:v>
      </x:c>
      <x:c r="Y395" s="78" t="n">
        <x:v>0</x:v>
      </x:c>
    </x:row>
    <x:row r="396" ht="21" customHeight="1">
      <x:c r="A396" t="str">
        <x:v>P11-A11</x:v>
      </x:c>
      <x:c r="B396" t="str">
        <x:v>P11</x:v>
      </x:c>
      <x:c r="C396" t="str">
        <x:v>Final Inspection &amp; Punch List / Isolation Function Verification</x:v>
      </x:c>
      <x:c r="D396" t="str">
        <x:v>1.11.5.1</x:v>
      </x:c>
      <x:c r="E396" s="54" t="n">
        <x:v>46049</x:v>
      </x:c>
      <x:c r="F396" s="54" t="n">
        <x:v>46062</x:v>
      </x:c>
      <x:c r="G396" s="54"/>
      <x:c r="H396" s="54"/>
      <x:c r="I396" s="54"/>
      <x:c r="J396" s="54"/>
      <x:c r="K396" t="n">
        <x:v>10</x:v>
      </x:c>
      <x:c r="L396" t="str">
        <x:v>P11-B1gis, P11-B2gis</x:v>
      </x:c>
      <x:c r="M396"/>
      <x:c r="N396" s="21" t="b">
        <x:v>0</x:v>
      </x:c>
      <x:c r="O396" s="21" t="b">
        <x:v>1</x:v>
      </x:c>
      <x:c r="P396" t="str">
        <x:v>P11-CA05</x:v>
      </x:c>
      <x:c r="Q396" t="str">
        <x:v>P11-WP051</x:v>
      </x:c>
      <x:c r="R396" t="str">
        <x:v>Task</x:v>
      </x:c>
      <x:c r="S396" t="str">
        <x:v>Project-type realism</x:v>
      </x:c>
      <x:c r="T396" t="str">
        <x:v>Recovered by reconciliation to approved P11 milestone dates and published durations</x:v>
      </x:c>
      <x:c r="U396" s="54" t="n">
        <x:v>46049</x:v>
      </x:c>
      <x:c r="V396" s="54" t="n">
        <x:v>46062</x:v>
      </x:c>
      <x:c r="W396" s="54" t="n">
        <x:v>46049</x:v>
      </x:c>
      <x:c r="X396" s="54" t="n">
        <x:v>46062</x:v>
      </x:c>
      <x:c r="Y396" s="78" t="n">
        <x:v>0</x:v>
      </x:c>
    </x:row>
    <x:row r="397" ht="21" customHeight="1">
      <x:c r="A397" t="str">
        <x:v>P11-M3</x:v>
      </x:c>
      <x:c r="B397" t="str">
        <x:v>P11</x:v>
      </x:c>
      <x:c r="C397" t="str">
        <x:v>Substantial Completion</x:v>
      </x:c>
      <x:c r="D397" t="str">
        <x:v>1.11.4.1</x:v>
      </x:c>
      <x:c r="E397" s="54" t="n">
        <x:v>46062</x:v>
      </x:c>
      <x:c r="F397" s="54" t="n">
        <x:v>46062</x:v>
      </x:c>
      <x:c r="G397" s="54"/>
      <x:c r="H397" s="54"/>
      <x:c r="I397" s="54"/>
      <x:c r="J397" s="54"/>
      <x:c r="K397" t="n">
        <x:v>0</x:v>
      </x:c>
      <x:c r="L397" t="str">
        <x:v>P11-A11</x:v>
      </x:c>
      <x:c r="M397"/>
      <x:c r="N397" s="21" t="b">
        <x:v>1</x:v>
      </x:c>
      <x:c r="O397" s="21" t="b">
        <x:v>0</x:v>
      </x:c>
      <x:c r="P397" t="str">
        <x:v>P11-CA04</x:v>
      </x:c>
      <x:c r="Q397" t="str">
        <x:v>P11-WP041</x:v>
      </x:c>
      <x:c r="R397" t="str">
        <x:v>Milestone</x:v>
      </x:c>
      <x:c r="S397" t="str">
        <x:v>Approved milestone / interface milestone</x:v>
      </x:c>
      <x:c r="T397" t="str">
        <x:v>Source-explicit milestone date</x:v>
      </x:c>
      <x:c r="U397" s="54" t="n">
        <x:v>46062</x:v>
      </x:c>
      <x:c r="V397" s="54" t="n">
        <x:v>46062</x:v>
      </x:c>
      <x:c r="W397" s="54" t="n">
        <x:v>46090</x:v>
      </x:c>
      <x:c r="X397" s="54" t="n">
        <x:v>46090</x:v>
      </x:c>
      <x:c r="Y397" s="78" t="n">
        <x:v>20</x:v>
      </x:c>
    </x:row>
    <x:row r="398" ht="21" customHeight="1">
      <x:c r="A398" t="str">
        <x:v>P11-MISOVERIFY</x:v>
      </x:c>
      <x:c r="B398" t="str">
        <x:v>P11</x:v>
      </x:c>
      <x:c r="C398" t="str">
        <x:v>MISOVERIFY</x:v>
      </x:c>
      <x:c r="D398" t="str">
        <x:v>1.11.4.1</x:v>
      </x:c>
      <x:c r="E398" s="54" t="n">
        <x:v>46062</x:v>
      </x:c>
      <x:c r="F398" s="54" t="n">
        <x:v>46062</x:v>
      </x:c>
      <x:c r="G398" s="54"/>
      <x:c r="H398" s="54"/>
      <x:c r="I398" s="54"/>
      <x:c r="J398" s="54"/>
      <x:c r="K398" t="n">
        <x:v>0</x:v>
      </x:c>
      <x:c r="L398" t="str">
        <x:v>P11-A11</x:v>
      </x:c>
      <x:c r="M398"/>
      <x:c r="N398" s="21" t="b">
        <x:v>1</x:v>
      </x:c>
      <x:c r="O398" s="21" t="b">
        <x:v>0</x:v>
      </x:c>
      <x:c r="P398" t="str">
        <x:v>P11-CA04</x:v>
      </x:c>
      <x:c r="Q398" t="str">
        <x:v>P11-WP041</x:v>
      </x:c>
      <x:c r="R398" t="str">
        <x:v>Milestone</x:v>
      </x:c>
      <x:c r="S398" t="str">
        <x:v>Approved milestone / interface milestone</x:v>
      </x:c>
      <x:c r="T398" t="str">
        <x:v>Source-explicit milestone date</x:v>
      </x:c>
      <x:c r="U398" s="54" t="n">
        <x:v>46062</x:v>
      </x:c>
      <x:c r="V398" s="54" t="n">
        <x:v>46062</x:v>
      </x:c>
      <x:c r="W398" s="54" t="n">
        <x:v>46090</x:v>
      </x:c>
      <x:c r="X398" s="54" t="n">
        <x:v>46090</x:v>
      </x:c>
      <x:c r="Y398" s="78" t="n">
        <x:v>20</x:v>
      </x:c>
    </x:row>
    <x:row r="399" ht="21" customHeight="1">
      <x:c r="A399" t="str">
        <x:v>P11-A12</x:v>
      </x:c>
      <x:c r="B399" t="str">
        <x:v>P11</x:v>
      </x:c>
      <x:c r="C399" t="str">
        <x:v>Documentation &amp; Turnover</x:v>
      </x:c>
      <x:c r="D399" t="str">
        <x:v>1.11.6.1</x:v>
      </x:c>
      <x:c r="E399" s="54" t="n">
        <x:v>46063</x:v>
      </x:c>
      <x:c r="F399" s="54" t="n">
        <x:v>46076</x:v>
      </x:c>
      <x:c r="G399" s="54"/>
      <x:c r="H399" s="54"/>
      <x:c r="I399" s="54"/>
      <x:c r="J399" s="54"/>
      <x:c r="K399" t="n">
        <x:v>10</x:v>
      </x:c>
      <x:c r="L399" t="str">
        <x:v>P11-A11</x:v>
      </x:c>
      <x:c r="M399"/>
      <x:c r="N399" s="21" t="b">
        <x:v>0</x:v>
      </x:c>
      <x:c r="O399" s="21" t="b">
        <x:v>1</x:v>
      </x:c>
      <x:c r="P399" t="str">
        <x:v>P11-CA06</x:v>
      </x:c>
      <x:c r="Q399" t="str">
        <x:v>P11-WP061</x:v>
      </x:c>
      <x:c r="R399" t="str">
        <x:v>Task</x:v>
      </x:c>
      <x:c r="S399" t="str">
        <x:v>Project-type realism</x:v>
      </x:c>
      <x:c r="T399" t="str">
        <x:v>Recovered by reconciliation to approved P11 milestone dates and published durations</x:v>
      </x:c>
      <x:c r="U399" s="54" t="n">
        <x:v>46063</x:v>
      </x:c>
      <x:c r="V399" s="54" t="n">
        <x:v>46076</x:v>
      </x:c>
      <x:c r="W399" s="54" t="n">
        <x:v>46063</x:v>
      </x:c>
      <x:c r="X399" s="54" t="n">
        <x:v>46076</x:v>
      </x:c>
      <x:c r="Y399" s="78" t="n">
        <x:v>0</x:v>
      </x:c>
    </x:row>
    <x:row r="400" ht="21" customHeight="1">
      <x:c r="A400" t="str">
        <x:v>P11-A13</x:v>
      </x:c>
      <x:c r="B400" t="str">
        <x:v>P11</x:v>
      </x:c>
      <x:c r="C400" t="str">
        <x:v>Financial Closeout</x:v>
      </x:c>
      <x:c r="D400" t="str">
        <x:v>1.11.6.2</x:v>
      </x:c>
      <x:c r="E400" s="54" t="n">
        <x:v>46070</x:v>
      </x:c>
      <x:c r="F400" s="54" t="n">
        <x:v>46090</x:v>
      </x:c>
      <x:c r="G400" s="54"/>
      <x:c r="H400" s="54"/>
      <x:c r="I400" s="54"/>
      <x:c r="J400" s="54"/>
      <x:c r="K400" t="n">
        <x:v>15</x:v>
      </x:c>
      <x:c r="L400" t="str">
        <x:v>P11-A12</x:v>
      </x:c>
      <x:c r="M400"/>
      <x:c r="N400" s="21" t="b">
        <x:v>0</x:v>
      </x:c>
      <x:c r="O400" s="21" t="b">
        <x:v>1</x:v>
      </x:c>
      <x:c r="P400" t="str">
        <x:v>P11-CA06</x:v>
      </x:c>
      <x:c r="Q400" t="str">
        <x:v>P11-WP062</x:v>
      </x:c>
      <x:c r="R400" t="str">
        <x:v>Task</x:v>
      </x:c>
      <x:c r="S400" t="str">
        <x:v>Project-type realism</x:v>
      </x:c>
      <x:c r="T400" t="str">
        <x:v>Recovered by reconciliation to approved P11 milestone dates and published durations</x:v>
      </x:c>
      <x:c r="U400" s="54" t="n">
        <x:v>46070</x:v>
      </x:c>
      <x:c r="V400" s="54" t="n">
        <x:v>46090</x:v>
      </x:c>
      <x:c r="W400" s="54" t="n">
        <x:v>46070</x:v>
      </x:c>
      <x:c r="X400" s="54" t="n">
        <x:v>46090</x:v>
      </x:c>
      <x:c r="Y400" s="78" t="n">
        <x:v>0</x:v>
      </x:c>
    </x:row>
    <x:row r="401" ht="21" customHeight="1">
      <x:c r="A401" t="str">
        <x:v>P11-M4</x:v>
      </x:c>
      <x:c r="B401" t="str">
        <x:v>P11</x:v>
      </x:c>
      <x:c r="C401" t="str">
        <x:v>Final Completion</x:v>
      </x:c>
      <x:c r="D401" t="str">
        <x:v>1.11.4.1</x:v>
      </x:c>
      <x:c r="E401" s="54" t="n">
        <x:v>46090</x:v>
      </x:c>
      <x:c r="F401" s="54" t="n">
        <x:v>46090</x:v>
      </x:c>
      <x:c r="G401" s="54"/>
      <x:c r="H401" s="54"/>
      <x:c r="I401" s="54"/>
      <x:c r="J401" s="54"/>
      <x:c r="K401" t="n">
        <x:v>0</x:v>
      </x:c>
      <x:c r="L401" t="str">
        <x:v>P11-A13</x:v>
      </x:c>
      <x:c r="M401"/>
      <x:c r="N401" s="21" t="b">
        <x:v>1</x:v>
      </x:c>
      <x:c r="O401" s="21" t="b">
        <x:v>1</x:v>
      </x:c>
      <x:c r="P401" t="str">
        <x:v>P11-CA04</x:v>
      </x:c>
      <x:c r="Q401" t="str">
        <x:v>P11-WP041</x:v>
      </x:c>
      <x:c r="R401" t="str">
        <x:v>Milestone</x:v>
      </x:c>
      <x:c r="S401" t="str">
        <x:v>Approved milestone / interface milestone</x:v>
      </x:c>
      <x:c r="T401" t="str">
        <x:v>Source-explicit milestone date</x:v>
      </x:c>
      <x:c r="U401" s="54" t="n">
        <x:v>46090</x:v>
      </x:c>
      <x:c r="V401" s="54" t="n">
        <x:v>46090</x:v>
      </x:c>
      <x:c r="W401" s="54" t="n">
        <x:v>46090</x:v>
      </x:c>
      <x:c r="X401" s="54" t="n">
        <x:v>46090</x:v>
      </x:c>
      <x:c r="Y401" s="78" t="n">
        <x:v>0</x:v>
      </x:c>
    </x:row>
    <x:row r="402" ht="21" customHeight="1">
      <x:c r="A402" t="str">
        <x:v>P12-Y1A1</x:v>
      </x:c>
      <x:c r="B402" t="str">
        <x:v>P12</x:v>
      </x:c>
      <x:c r="C402" t="str">
        <x:v>Year 1 Annual Planning &amp; Prioritization Window</x:v>
      </x:c>
      <x:c r="D402" t="str">
        <x:v>1.12.1.1</x:v>
      </x:c>
      <x:c r="E402" s="54" t="n">
        <x:v>45659</x:v>
      </x:c>
      <x:c r="F402" s="54" t="n">
        <x:v>45679</x:v>
      </x:c>
      <x:c r="G402" s="54"/>
      <x:c r="H402" s="54"/>
      <x:c r="I402" s="54"/>
      <x:c r="J402" s="54"/>
      <x:c r="K402" t="n">
        <x:v>15</x:v>
      </x:c>
      <x:c r="L402" t="str"/>
      <x:c r="M402"/>
      <x:c r="N402" s="21" t="b">
        <x:v>0</x:v>
      </x:c>
      <x:c r="O402" s="21" t="b">
        <x:v>1</x:v>
      </x:c>
      <x:c r="P402" t="str">
        <x:v>P12-CA01</x:v>
      </x:c>
      <x:c r="Q402" t="str">
        <x:v>P12-WP011</x:v>
      </x:c>
      <x:c r="R402" t="str">
        <x:v>Task</x:v>
      </x:c>
      <x:c r="S402" t="str">
        <x:v>Project-type realism</x:v>
      </x:c>
      <x:c r="T402" t="str">
        <x:v>Source-derived / reconstructed network</x:v>
      </x:c>
      <x:c r="U402" s="54" t="n">
        <x:v>45659</x:v>
      </x:c>
      <x:c r="V402" s="54" t="n">
        <x:v>45679</x:v>
      </x:c>
      <x:c r="W402" s="54" t="n">
        <x:v>45659</x:v>
      </x:c>
      <x:c r="X402" s="54" t="n">
        <x:v>45679</x:v>
      </x:c>
      <x:c r="Y402" s="78" t="n">
        <x:v>0</x:v>
      </x:c>
    </x:row>
    <x:row r="403" ht="21" customHeight="1">
      <x:c r="A403" t="str">
        <x:v>P12-MPLANY1</x:v>
      </x:c>
      <x:c r="B403" t="str">
        <x:v>P12</x:v>
      </x:c>
      <x:c r="C403" t="str">
        <x:v>MPLANY1</x:v>
      </x:c>
      <x:c r="D403" t="str">
        <x:v>1.12.1.1</x:v>
      </x:c>
      <x:c r="E403" s="54" t="n">
        <x:v>45679</x:v>
      </x:c>
      <x:c r="F403" s="54" t="n">
        <x:v>45679</x:v>
      </x:c>
      <x:c r="G403" s="54"/>
      <x:c r="H403" s="54"/>
      <x:c r="I403" s="54"/>
      <x:c r="J403" s="54"/>
      <x:c r="K403" t="n">
        <x:v>0</x:v>
      </x:c>
      <x:c r="L403" t="str">
        <x:v>P12-Y1A1</x:v>
      </x:c>
      <x:c r="M403"/>
      <x:c r="N403" s="21" t="b">
        <x:v>1</x:v>
      </x:c>
      <x:c r="O403" s="21" t="b">
        <x:v>0</x:v>
      </x:c>
      <x:c r="P403" t="str">
        <x:v>P12-CA01</x:v>
      </x:c>
      <x:c r="Q403" t="str">
        <x:v>P12-WP011</x:v>
      </x:c>
      <x:c r="R403" t="str">
        <x:v>Milestone</x:v>
      </x:c>
      <x:c r="S403" t="str">
        <x:v>Approved milestone / interface milestone</x:v>
      </x:c>
      <x:c r="T403" t="str">
        <x:v>Semantic WBS mapping corrected: annual planning milestone belongs in Planning &amp; Prioritization</x:v>
      </x:c>
      <x:c r="U403" s="54" t="n">
        <x:v>45679</x:v>
      </x:c>
      <x:c r="V403" s="54" t="n">
        <x:v>45679</x:v>
      </x:c>
      <x:c r="W403" s="54" t="n">
        <x:v>46561</x:v>
      </x:c>
      <x:c r="X403" s="54" t="n">
        <x:v>46561</x:v>
      </x:c>
      <x:c r="Y403" s="78" t="n">
        <x:v>630</x:v>
      </x:c>
    </x:row>
    <x:row r="404" ht="21" customHeight="1">
      <x:c r="A404" t="str">
        <x:v>P12-Y1A2</x:v>
      </x:c>
      <x:c r="B404" t="str">
        <x:v>P12</x:v>
      </x:c>
      <x:c r="C404" t="str">
        <x:v>Year 1 Intake &amp; Triage of Small-Capital/Emergency Needs</x:v>
      </x:c>
      <x:c r="D404" t="str">
        <x:v>1.12.1.1</x:v>
      </x:c>
      <x:c r="E404" s="54" t="n">
        <x:v>45680</x:v>
      </x:c>
      <x:c r="F404" s="54" t="n">
        <x:v>45707</x:v>
      </x:c>
      <x:c r="G404" s="54"/>
      <x:c r="H404" s="54"/>
      <x:c r="I404" s="54"/>
      <x:c r="J404" s="54"/>
      <x:c r="K404" t="n">
        <x:v>20</x:v>
      </x:c>
      <x:c r="L404" t="str">
        <x:v>P12-Y1A1</x:v>
      </x:c>
      <x:c r="M404"/>
      <x:c r="N404" s="21" t="b">
        <x:v>0</x:v>
      </x:c>
      <x:c r="O404" s="21" t="b">
        <x:v>1</x:v>
      </x:c>
      <x:c r="P404" t="str">
        <x:v>P12-CA01</x:v>
      </x:c>
      <x:c r="Q404" t="str">
        <x:v>P12-WP011</x:v>
      </x:c>
      <x:c r="R404" t="str">
        <x:v>Task</x:v>
      </x:c>
      <x:c r="S404" t="str">
        <x:v>Project-type realism</x:v>
      </x:c>
      <x:c r="T404" t="str">
        <x:v>Source-derived / reconstructed network</x:v>
      </x:c>
      <x:c r="U404" s="54" t="n">
        <x:v>45680</x:v>
      </x:c>
      <x:c r="V404" s="54" t="n">
        <x:v>45707</x:v>
      </x:c>
      <x:c r="W404" s="54" t="n">
        <x:v>45680</x:v>
      </x:c>
      <x:c r="X404" s="54" t="n">
        <x:v>45707</x:v>
      </x:c>
      <x:c r="Y404" s="78" t="n">
        <x:v>0</x:v>
      </x:c>
    </x:row>
    <x:row r="405" ht="21" customHeight="1">
      <x:c r="A405" t="str">
        <x:v>P12-Y1A3</x:v>
      </x:c>
      <x:c r="B405" t="str">
        <x:v>P12</x:v>
      </x:c>
      <x:c r="C405" t="str">
        <x:v>Year 1 Scope Development</x:v>
      </x:c>
      <x:c r="D405" t="str">
        <x:v>1.12.2.1</x:v>
      </x:c>
      <x:c r="E405" s="54" t="n">
        <x:v>45708</x:v>
      </x:c>
      <x:c r="F405" s="54" t="n">
        <x:v>45735</x:v>
      </x:c>
      <x:c r="G405" s="54"/>
      <x:c r="H405" s="54"/>
      <x:c r="I405" s="54"/>
      <x:c r="J405" s="54"/>
      <x:c r="K405" t="n">
        <x:v>20</x:v>
      </x:c>
      <x:c r="L405" t="str">
        <x:v>P12-Y1A2</x:v>
      </x:c>
      <x:c r="M405"/>
      <x:c r="N405" s="21" t="b">
        <x:v>0</x:v>
      </x:c>
      <x:c r="O405" s="21" t="b">
        <x:v>1</x:v>
      </x:c>
      <x:c r="P405" t="str">
        <x:v>P12-CA02</x:v>
      </x:c>
      <x:c r="Q405" t="str">
        <x:v>P12-WP021</x:v>
      </x:c>
      <x:c r="R405" t="str">
        <x:v>Task</x:v>
      </x:c>
      <x:c r="S405" t="str">
        <x:v>Project-type realism</x:v>
      </x:c>
      <x:c r="T405" t="str">
        <x:v>Semantic WBS mapping corrected: scope development belongs in Design / Scope Development</x:v>
      </x:c>
      <x:c r="U405" s="54" t="n">
        <x:v>45708</x:v>
      </x:c>
      <x:c r="V405" s="54" t="n">
        <x:v>45735</x:v>
      </x:c>
      <x:c r="W405" s="54" t="n">
        <x:v>45708</x:v>
      </x:c>
      <x:c r="X405" s="54" t="n">
        <x:v>45735</x:v>
      </x:c>
      <x:c r="Y405" s="78" t="n">
        <x:v>0</x:v>
      </x:c>
    </x:row>
    <x:row r="406" ht="21" customHeight="1">
      <x:c r="A406" t="str">
        <x:v>P12-Y1A4</x:v>
      </x:c>
      <x:c r="B406" t="str">
        <x:v>P12</x:v>
      </x:c>
      <x:c r="C406" t="str">
        <x:v>Year 1 Rapid Design / Standard-Detail Development</x:v>
      </x:c>
      <x:c r="D406" t="str">
        <x:v>1.12.2.1</x:v>
      </x:c>
      <x:c r="E406" s="54" t="n">
        <x:v>45736</x:v>
      </x:c>
      <x:c r="F406" s="54" t="n">
        <x:v>45756</x:v>
      </x:c>
      <x:c r="G406" s="54"/>
      <x:c r="H406" s="54"/>
      <x:c r="I406" s="54"/>
      <x:c r="J406" s="54"/>
      <x:c r="K406" t="n">
        <x:v>15</x:v>
      </x:c>
      <x:c r="L406" t="str">
        <x:v>P12-Y1A3</x:v>
      </x:c>
      <x:c r="M406"/>
      <x:c r="N406" s="21" t="b">
        <x:v>0</x:v>
      </x:c>
      <x:c r="O406" s="21" t="b">
        <x:v>1</x:v>
      </x:c>
      <x:c r="P406" t="str">
        <x:v>P12-CA02</x:v>
      </x:c>
      <x:c r="Q406" t="str">
        <x:v>P12-WP021</x:v>
      </x:c>
      <x:c r="R406" t="str">
        <x:v>Task</x:v>
      </x:c>
      <x:c r="S406" t="str">
        <x:v>Project-type realism</x:v>
      </x:c>
      <x:c r="T406" t="str">
        <x:v>Source-derived / reconstructed network</x:v>
      </x:c>
      <x:c r="U406" s="54" t="n">
        <x:v>45736</x:v>
      </x:c>
      <x:c r="V406" s="54" t="n">
        <x:v>45756</x:v>
      </x:c>
      <x:c r="W406" s="54" t="n">
        <x:v>45736</x:v>
      </x:c>
      <x:c r="X406" s="54" t="n">
        <x:v>45756</x:v>
      </x:c>
      <x:c r="Y406" s="78" t="n">
        <x:v>0</x:v>
      </x:c>
    </x:row>
    <x:row r="407" ht="21" customHeight="1">
      <x:c r="A407" t="str">
        <x:v>P12-Y1A5</x:v>
      </x:c>
      <x:c r="B407" t="str">
        <x:v>P12</x:v>
      </x:c>
      <x:c r="C407" t="str">
        <x:v>Year 1 Procurement / Task-Order Assignment</x:v>
      </x:c>
      <x:c r="D407" t="str">
        <x:v>1.12.3.1</x:v>
      </x:c>
      <x:c r="E407" s="54" t="n">
        <x:v>45757</x:v>
      </x:c>
      <x:c r="F407" s="54" t="n">
        <x:v>45791</x:v>
      </x:c>
      <x:c r="G407" s="54"/>
      <x:c r="H407" s="54"/>
      <x:c r="I407" s="54"/>
      <x:c r="J407" s="54"/>
      <x:c r="K407" t="n">
        <x:v>25</x:v>
      </x:c>
      <x:c r="L407" t="str">
        <x:v>P12-Y1A4</x:v>
      </x:c>
      <x:c r="M407"/>
      <x:c r="N407" s="21" t="b">
        <x:v>0</x:v>
      </x:c>
      <x:c r="O407" s="21" t="b">
        <x:v>1</x:v>
      </x:c>
      <x:c r="P407" t="str">
        <x:v>P12-CA03</x:v>
      </x:c>
      <x:c r="Q407" t="str">
        <x:v>P12-WP031</x:v>
      </x:c>
      <x:c r="R407" t="str">
        <x:v>Task</x:v>
      </x:c>
      <x:c r="S407" t="str">
        <x:v>Synthetic project assumption — standing on-call/task-order contract</x:v>
      </x:c>
      <x:c r="T407" t="str">
        <x:v>Semantic WBS mapping corrected: procurement/task-order assignment belongs in Procurement</x:v>
      </x:c>
      <x:c r="U407" s="54" t="n">
        <x:v>45757</x:v>
      </x:c>
      <x:c r="V407" s="54" t="n">
        <x:v>45791</x:v>
      </x:c>
      <x:c r="W407" s="54" t="n">
        <x:v>45757</x:v>
      </x:c>
      <x:c r="X407" s="54" t="n">
        <x:v>45791</x:v>
      </x:c>
      <x:c r="Y407" s="78" t="n">
        <x:v>0</x:v>
      </x:c>
    </x:row>
    <x:row r="408" ht="21" customHeight="1">
      <x:c r="A408" t="str">
        <x:v>P12-Y1A6</x:v>
      </x:c>
      <x:c r="B408" t="str">
        <x:v>P12</x:v>
      </x:c>
      <x:c r="C408" t="str">
        <x:v>Year 1 Field Execution</x:v>
      </x:c>
      <x:c r="D408" t="str">
        <x:v>1.12.4.1</x:v>
      </x:c>
      <x:c r="E408" s="54" t="n">
        <x:v>45792</x:v>
      </x:c>
      <x:c r="F408" s="54" t="n">
        <x:v>45917</x:v>
      </x:c>
      <x:c r="G408" s="54"/>
      <x:c r="H408" s="54"/>
      <x:c r="I408" s="54"/>
      <x:c r="J408" s="54"/>
      <x:c r="K408" t="n">
        <x:v>90</x:v>
      </x:c>
      <x:c r="L408" t="str">
        <x:v>P12-Y1A5</x:v>
      </x:c>
      <x:c r="M408"/>
      <x:c r="N408" s="21" t="b">
        <x:v>0</x:v>
      </x:c>
      <x:c r="O408" s="21" t="b">
        <x:v>1</x:v>
      </x:c>
      <x:c r="P408" t="str">
        <x:v>P12-CA04</x:v>
      </x:c>
      <x:c r="Q408" t="str">
        <x:v>P12-WP041</x:v>
      </x:c>
      <x:c r="R408" t="str">
        <x:v>Task</x:v>
      </x:c>
      <x:c r="S408" t="str">
        <x:v>Synthetic, industry-informed planning assumption</x:v>
      </x:c>
      <x:c r="T408" t="str">
        <x:v>Source-derived / reconstructed network</x:v>
      </x:c>
      <x:c r="U408" s="54" t="n">
        <x:v>45792</x:v>
      </x:c>
      <x:c r="V408" s="54" t="n">
        <x:v>45917</x:v>
      </x:c>
      <x:c r="W408" s="54" t="n">
        <x:v>45792</x:v>
      </x:c>
      <x:c r="X408" s="54" t="n">
        <x:v>45917</x:v>
      </x:c>
      <x:c r="Y408" s="78" t="n">
        <x:v>0</x:v>
      </x:c>
    </x:row>
    <x:row r="409" ht="21" customHeight="1">
      <x:c r="A409" t="str">
        <x:v>P12-MY1DONE</x:v>
      </x:c>
      <x:c r="B409" t="str">
        <x:v>P12</x:v>
      </x:c>
      <x:c r="C409" t="str">
        <x:v>MY1DONE</x:v>
      </x:c>
      <x:c r="D409" t="str">
        <x:v>1.12.4.1</x:v>
      </x:c>
      <x:c r="E409" s="54" t="n">
        <x:v>45917</x:v>
      </x:c>
      <x:c r="F409" s="54" t="n">
        <x:v>45917</x:v>
      </x:c>
      <x:c r="G409" s="54"/>
      <x:c r="H409" s="54"/>
      <x:c r="I409" s="54"/>
      <x:c r="J409" s="54"/>
      <x:c r="K409" t="n">
        <x:v>0</x:v>
      </x:c>
      <x:c r="L409" t="str">
        <x:v>P12-Y1A6</x:v>
      </x:c>
      <x:c r="M409"/>
      <x:c r="N409" s="21" t="b">
        <x:v>1</x:v>
      </x:c>
      <x:c r="O409" s="21" t="b">
        <x:v>0</x:v>
      </x:c>
      <x:c r="P409" t="str">
        <x:v>P12-CA04</x:v>
      </x:c>
      <x:c r="Q409" t="str">
        <x:v>P12-WP041</x:v>
      </x:c>
      <x:c r="R409" t="str">
        <x:v>Milestone</x:v>
      </x:c>
      <x:c r="S409" t="str">
        <x:v>Approved milestone / interface milestone</x:v>
      </x:c>
      <x:c r="T409" t="str">
        <x:v>Source-explicit milestone date</x:v>
      </x:c>
      <x:c r="U409" s="54" t="n">
        <x:v>45917</x:v>
      </x:c>
      <x:c r="V409" s="54" t="n">
        <x:v>45917</x:v>
      </x:c>
      <x:c r="W409" s="54" t="n">
        <x:v>46561</x:v>
      </x:c>
      <x:c r="X409" s="54" t="n">
        <x:v>46561</x:v>
      </x:c>
      <x:c r="Y409" s="78" t="n">
        <x:v>460</x:v>
      </x:c>
    </x:row>
    <x:row r="410" ht="21" customHeight="1">
      <x:c r="A410" t="str">
        <x:v>P12-Y1A7</x:v>
      </x:c>
      <x:c r="B410" t="str">
        <x:v>P12</x:v>
      </x:c>
      <x:c r="C410" t="str">
        <x:v>Year 1 Verification / Acceptance</x:v>
      </x:c>
      <x:c r="D410" t="str">
        <x:v>1.12.5.1</x:v>
      </x:c>
      <x:c r="E410" s="54" t="n">
        <x:v>45918</x:v>
      </x:c>
      <x:c r="F410" s="54" t="n">
        <x:v>45938</x:v>
      </x:c>
      <x:c r="G410" s="54"/>
      <x:c r="H410" s="54"/>
      <x:c r="I410" s="54"/>
      <x:c r="J410" s="54"/>
      <x:c r="K410" t="n">
        <x:v>15</x:v>
      </x:c>
      <x:c r="L410" t="str">
        <x:v>P12-Y1A6</x:v>
      </x:c>
      <x:c r="M410"/>
      <x:c r="N410" s="21" t="b">
        <x:v>0</x:v>
      </x:c>
      <x:c r="O410" s="21" t="b">
        <x:v>1</x:v>
      </x:c>
      <x:c r="P410" t="str">
        <x:v>P12-CA05</x:v>
      </x:c>
      <x:c r="Q410" t="str">
        <x:v>P12-WP051</x:v>
      </x:c>
      <x:c r="R410" t="str">
        <x:v>Task</x:v>
      </x:c>
      <x:c r="S410" t="str">
        <x:v>Project-type realism</x:v>
      </x:c>
      <x:c r="T410" t="str">
        <x:v>Source-derived / reconstructed network</x:v>
      </x:c>
      <x:c r="U410" s="54" t="n">
        <x:v>45918</x:v>
      </x:c>
      <x:c r="V410" s="54" t="n">
        <x:v>45938</x:v>
      </x:c>
      <x:c r="W410" s="54" t="n">
        <x:v>45918</x:v>
      </x:c>
      <x:c r="X410" s="54" t="n">
        <x:v>45938</x:v>
      </x:c>
      <x:c r="Y410" s="78" t="n">
        <x:v>0</x:v>
      </x:c>
    </x:row>
    <x:row r="411" ht="21" customHeight="1">
      <x:c r="A411" t="str">
        <x:v>P12-Y1A8</x:v>
      </x:c>
      <x:c r="B411" t="str">
        <x:v>P12</x:v>
      </x:c>
      <x:c r="C411" t="str">
        <x:v>Year 1 Closeout</x:v>
      </x:c>
      <x:c r="D411" t="str">
        <x:v>1.12.6.1</x:v>
      </x:c>
      <x:c r="E411" s="54" t="n">
        <x:v>45939</x:v>
      </x:c>
      <x:c r="F411" s="54" t="n">
        <x:v>45959</x:v>
      </x:c>
      <x:c r="G411" s="54"/>
      <x:c r="H411" s="54"/>
      <x:c r="I411" s="54"/>
      <x:c r="J411" s="54"/>
      <x:c r="K411" t="n">
        <x:v>15</x:v>
      </x:c>
      <x:c r="L411" t="str">
        <x:v>P12-Y1A7</x:v>
      </x:c>
      <x:c r="M411"/>
      <x:c r="N411" s="21" t="b">
        <x:v>0</x:v>
      </x:c>
      <x:c r="O411" s="21" t="b">
        <x:v>1</x:v>
      </x:c>
      <x:c r="P411" t="str">
        <x:v>P12-CA06</x:v>
      </x:c>
      <x:c r="Q411" t="str">
        <x:v>P12-WP061</x:v>
      </x:c>
      <x:c r="R411" t="str">
        <x:v>Task</x:v>
      </x:c>
      <x:c r="S411" t="str">
        <x:v>Project-type realism</x:v>
      </x:c>
      <x:c r="T411" t="str">
        <x:v>Source-derived / reconstructed network</x:v>
      </x:c>
      <x:c r="U411" s="54" t="n">
        <x:v>45939</x:v>
      </x:c>
      <x:c r="V411" s="54" t="n">
        <x:v>45959</x:v>
      </x:c>
      <x:c r="W411" s="54" t="n">
        <x:v>45939</x:v>
      </x:c>
      <x:c r="X411" s="54" t="n">
        <x:v>45959</x:v>
      </x:c>
      <x:c r="Y411" s="78" t="n">
        <x:v>0</x:v>
      </x:c>
    </x:row>
    <x:row r="412" ht="21" customHeight="1">
      <x:c r="A412" t="str">
        <x:v>P12-Y2A1</x:v>
      </x:c>
      <x:c r="B412" t="str">
        <x:v>P12</x:v>
      </x:c>
      <x:c r="C412" t="str">
        <x:v>Year 2 Annual Planning &amp; Prioritization Window</x:v>
      </x:c>
      <x:c r="D412" t="str">
        <x:v>1.12.1.1</x:v>
      </x:c>
      <x:c r="E412" s="54" t="n">
        <x:v>45960</x:v>
      </x:c>
      <x:c r="F412" s="54" t="n">
        <x:v>45980</x:v>
      </x:c>
      <x:c r="G412" s="54"/>
      <x:c r="H412" s="54"/>
      <x:c r="I412" s="54"/>
      <x:c r="J412" s="54"/>
      <x:c r="K412" t="n">
        <x:v>15</x:v>
      </x:c>
      <x:c r="L412" t="str">
        <x:v>P12-Y1A8</x:v>
      </x:c>
      <x:c r="M412"/>
      <x:c r="N412" s="21" t="b">
        <x:v>0</x:v>
      </x:c>
      <x:c r="O412" s="21" t="b">
        <x:v>1</x:v>
      </x:c>
      <x:c r="P412" t="str">
        <x:v>P12-CA01</x:v>
      </x:c>
      <x:c r="Q412" t="str">
        <x:v>P12-WP011</x:v>
      </x:c>
      <x:c r="R412" t="str">
        <x:v>Task</x:v>
      </x:c>
      <x:c r="S412" t="str">
        <x:v>Project-type realism</x:v>
      </x:c>
      <x:c r="T412" t="str">
        <x:v>Source-derived / reconstructed network</x:v>
      </x:c>
      <x:c r="U412" s="54" t="n">
        <x:v>45960</x:v>
      </x:c>
      <x:c r="V412" s="54" t="n">
        <x:v>45980</x:v>
      </x:c>
      <x:c r="W412" s="54" t="n">
        <x:v>45960</x:v>
      </x:c>
      <x:c r="X412" s="54" t="n">
        <x:v>45980</x:v>
      </x:c>
      <x:c r="Y412" s="78" t="n">
        <x:v>0</x:v>
      </x:c>
    </x:row>
    <x:row r="413" ht="21" customHeight="1">
      <x:c r="A413" t="str">
        <x:v>P12-MPLANY2</x:v>
      </x:c>
      <x:c r="B413" t="str">
        <x:v>P12</x:v>
      </x:c>
      <x:c r="C413" t="str">
        <x:v>MPLANY2</x:v>
      </x:c>
      <x:c r="D413" t="str">
        <x:v>1.12.1.1</x:v>
      </x:c>
      <x:c r="E413" s="54" t="n">
        <x:v>45980</x:v>
      </x:c>
      <x:c r="F413" s="54" t="n">
        <x:v>45980</x:v>
      </x:c>
      <x:c r="G413" s="54"/>
      <x:c r="H413" s="54"/>
      <x:c r="I413" s="54"/>
      <x:c r="J413" s="54"/>
      <x:c r="K413" t="n">
        <x:v>0</x:v>
      </x:c>
      <x:c r="L413" t="str">
        <x:v>P12-Y2A1</x:v>
      </x:c>
      <x:c r="M413"/>
      <x:c r="N413" s="21" t="b">
        <x:v>1</x:v>
      </x:c>
      <x:c r="O413" s="21" t="b">
        <x:v>0</x:v>
      </x:c>
      <x:c r="P413" t="str">
        <x:v>P12-CA01</x:v>
      </x:c>
      <x:c r="Q413" t="str">
        <x:v>P12-WP011</x:v>
      </x:c>
      <x:c r="R413" t="str">
        <x:v>Milestone</x:v>
      </x:c>
      <x:c r="S413" t="str">
        <x:v>Approved milestone / interface milestone</x:v>
      </x:c>
      <x:c r="T413" t="str">
        <x:v>Semantic WBS mapping corrected: annual planning milestone belongs in Planning &amp; Prioritization</x:v>
      </x:c>
      <x:c r="U413" s="54" t="n">
        <x:v>45980</x:v>
      </x:c>
      <x:c r="V413" s="54" t="n">
        <x:v>45980</x:v>
      </x:c>
      <x:c r="W413" s="54" t="n">
        <x:v>46561</x:v>
      </x:c>
      <x:c r="X413" s="54" t="n">
        <x:v>46561</x:v>
      </x:c>
      <x:c r="Y413" s="78" t="n">
        <x:v>415</x:v>
      </x:c>
    </x:row>
    <x:row r="414" ht="21" customHeight="1">
      <x:c r="A414" t="str">
        <x:v>P12-Y2A2</x:v>
      </x:c>
      <x:c r="B414" t="str">
        <x:v>P12</x:v>
      </x:c>
      <x:c r="C414" t="str">
        <x:v>Year 2 Intake &amp; Triage of Small-Capital/Emergency Needs</x:v>
      </x:c>
      <x:c r="D414" t="str">
        <x:v>1.12.1.1</x:v>
      </x:c>
      <x:c r="E414" s="54" t="n">
        <x:v>45981</x:v>
      </x:c>
      <x:c r="F414" s="54" t="n">
        <x:v>46008</x:v>
      </x:c>
      <x:c r="G414" s="54"/>
      <x:c r="H414" s="54"/>
      <x:c r="I414" s="54"/>
      <x:c r="J414" s="54"/>
      <x:c r="K414" t="n">
        <x:v>20</x:v>
      </x:c>
      <x:c r="L414" t="str">
        <x:v>P12-Y2A1</x:v>
      </x:c>
      <x:c r="M414"/>
      <x:c r="N414" s="21" t="b">
        <x:v>0</x:v>
      </x:c>
      <x:c r="O414" s="21" t="b">
        <x:v>1</x:v>
      </x:c>
      <x:c r="P414" t="str">
        <x:v>P12-CA01</x:v>
      </x:c>
      <x:c r="Q414" t="str">
        <x:v>P12-WP011</x:v>
      </x:c>
      <x:c r="R414" t="str">
        <x:v>Task</x:v>
      </x:c>
      <x:c r="S414" t="str">
        <x:v>Project-type realism</x:v>
      </x:c>
      <x:c r="T414" t="str">
        <x:v>Source-derived / reconstructed network</x:v>
      </x:c>
      <x:c r="U414" s="54" t="n">
        <x:v>45981</x:v>
      </x:c>
      <x:c r="V414" s="54" t="n">
        <x:v>46008</x:v>
      </x:c>
      <x:c r="W414" s="54" t="n">
        <x:v>45981</x:v>
      </x:c>
      <x:c r="X414" s="54" t="n">
        <x:v>46008</x:v>
      </x:c>
      <x:c r="Y414" s="78" t="n">
        <x:v>0</x:v>
      </x:c>
    </x:row>
    <x:row r="415" ht="21" customHeight="1">
      <x:c r="A415" t="str">
        <x:v>P12-Y2A3</x:v>
      </x:c>
      <x:c r="B415" t="str">
        <x:v>P12</x:v>
      </x:c>
      <x:c r="C415" t="str">
        <x:v>Year 2 Scope Development</x:v>
      </x:c>
      <x:c r="D415" t="str">
        <x:v>1.12.2.1</x:v>
      </x:c>
      <x:c r="E415" s="54" t="n">
        <x:v>46009</x:v>
      </x:c>
      <x:c r="F415" s="54" t="n">
        <x:v>46036</x:v>
      </x:c>
      <x:c r="G415" s="54"/>
      <x:c r="H415" s="54"/>
      <x:c r="I415" s="54"/>
      <x:c r="J415" s="54"/>
      <x:c r="K415" t="n">
        <x:v>20</x:v>
      </x:c>
      <x:c r="L415" t="str">
        <x:v>P12-Y2A2</x:v>
      </x:c>
      <x:c r="M415"/>
      <x:c r="N415" s="21" t="b">
        <x:v>0</x:v>
      </x:c>
      <x:c r="O415" s="21" t="b">
        <x:v>1</x:v>
      </x:c>
      <x:c r="P415" t="str">
        <x:v>P12-CA02</x:v>
      </x:c>
      <x:c r="Q415" t="str">
        <x:v>P12-WP021</x:v>
      </x:c>
      <x:c r="R415" t="str">
        <x:v>Task</x:v>
      </x:c>
      <x:c r="S415" t="str">
        <x:v>Project-type realism</x:v>
      </x:c>
      <x:c r="T415" t="str">
        <x:v>Semantic WBS mapping corrected: scope development belongs in Design / Scope Development</x:v>
      </x:c>
      <x:c r="U415" s="54" t="n">
        <x:v>46009</x:v>
      </x:c>
      <x:c r="V415" s="54" t="n">
        <x:v>46036</x:v>
      </x:c>
      <x:c r="W415" s="54" t="n">
        <x:v>46009</x:v>
      </x:c>
      <x:c r="X415" s="54" t="n">
        <x:v>46036</x:v>
      </x:c>
      <x:c r="Y415" s="78" t="n">
        <x:v>0</x:v>
      </x:c>
    </x:row>
    <x:row r="416" ht="21" customHeight="1">
      <x:c r="A416" t="str">
        <x:v>P12-Y2A4</x:v>
      </x:c>
      <x:c r="B416" t="str">
        <x:v>P12</x:v>
      </x:c>
      <x:c r="C416" t="str">
        <x:v>Year 2 Rapid Design / Standard-Detail Development</x:v>
      </x:c>
      <x:c r="D416" t="str">
        <x:v>1.12.2.1</x:v>
      </x:c>
      <x:c r="E416" s="54" t="n">
        <x:v>46037</x:v>
      </x:c>
      <x:c r="F416" s="54" t="n">
        <x:v>46057</x:v>
      </x:c>
      <x:c r="G416" s="54"/>
      <x:c r="H416" s="54"/>
      <x:c r="I416" s="54"/>
      <x:c r="J416" s="54"/>
      <x:c r="K416" t="n">
        <x:v>15</x:v>
      </x:c>
      <x:c r="L416" t="str">
        <x:v>P12-Y2A3</x:v>
      </x:c>
      <x:c r="M416"/>
      <x:c r="N416" s="21" t="b">
        <x:v>0</x:v>
      </x:c>
      <x:c r="O416" s="21" t="b">
        <x:v>1</x:v>
      </x:c>
      <x:c r="P416" t="str">
        <x:v>P12-CA02</x:v>
      </x:c>
      <x:c r="Q416" t="str">
        <x:v>P12-WP021</x:v>
      </x:c>
      <x:c r="R416" t="str">
        <x:v>Task</x:v>
      </x:c>
      <x:c r="S416" t="str">
        <x:v>Project-type realism</x:v>
      </x:c>
      <x:c r="T416" t="str">
        <x:v>Source-derived / reconstructed network</x:v>
      </x:c>
      <x:c r="U416" s="54" t="n">
        <x:v>46037</x:v>
      </x:c>
      <x:c r="V416" s="54" t="n">
        <x:v>46057</x:v>
      </x:c>
      <x:c r="W416" s="54" t="n">
        <x:v>46037</x:v>
      </x:c>
      <x:c r="X416" s="54" t="n">
        <x:v>46057</x:v>
      </x:c>
      <x:c r="Y416" s="78" t="n">
        <x:v>0</x:v>
      </x:c>
    </x:row>
    <x:row r="417" ht="21" customHeight="1">
      <x:c r="A417" t="str">
        <x:v>P12-Y2A5</x:v>
      </x:c>
      <x:c r="B417" t="str">
        <x:v>P12</x:v>
      </x:c>
      <x:c r="C417" t="str">
        <x:v>Year 2 Procurement / Task-Order Assignment</x:v>
      </x:c>
      <x:c r="D417" t="str">
        <x:v>1.12.3.1</x:v>
      </x:c>
      <x:c r="E417" s="54" t="n">
        <x:v>46058</x:v>
      </x:c>
      <x:c r="F417" s="54" t="n">
        <x:v>46092</x:v>
      </x:c>
      <x:c r="G417" s="54"/>
      <x:c r="H417" s="54"/>
      <x:c r="I417" s="54"/>
      <x:c r="J417" s="54"/>
      <x:c r="K417" t="n">
        <x:v>25</x:v>
      </x:c>
      <x:c r="L417" t="str">
        <x:v>P12-Y2A4</x:v>
      </x:c>
      <x:c r="M417"/>
      <x:c r="N417" s="21" t="b">
        <x:v>0</x:v>
      </x:c>
      <x:c r="O417" s="21" t="b">
        <x:v>1</x:v>
      </x:c>
      <x:c r="P417" t="str">
        <x:v>P12-CA03</x:v>
      </x:c>
      <x:c r="Q417" t="str">
        <x:v>P12-WP031</x:v>
      </x:c>
      <x:c r="R417" t="str">
        <x:v>Task</x:v>
      </x:c>
      <x:c r="S417" t="str">
        <x:v>Synthetic project assumption — standing on-call/task-order contract</x:v>
      </x:c>
      <x:c r="T417" t="str">
        <x:v>Semantic WBS mapping corrected: procurement/task-order assignment belongs in Procurement</x:v>
      </x:c>
      <x:c r="U417" s="54" t="n">
        <x:v>46058</x:v>
      </x:c>
      <x:c r="V417" s="54" t="n">
        <x:v>46092</x:v>
      </x:c>
      <x:c r="W417" s="54" t="n">
        <x:v>46058</x:v>
      </x:c>
      <x:c r="X417" s="54" t="n">
        <x:v>46092</x:v>
      </x:c>
      <x:c r="Y417" s="78" t="n">
        <x:v>0</x:v>
      </x:c>
    </x:row>
    <x:row r="418" ht="21" customHeight="1">
      <x:c r="A418" t="str">
        <x:v>P12-Y2A6</x:v>
      </x:c>
      <x:c r="B418" t="str">
        <x:v>P12</x:v>
      </x:c>
      <x:c r="C418" t="str">
        <x:v>Year 2 Field Execution</x:v>
      </x:c>
      <x:c r="D418" t="str">
        <x:v>1.12.4.1</x:v>
      </x:c>
      <x:c r="E418" s="54" t="n">
        <x:v>46093</x:v>
      </x:c>
      <x:c r="F418" s="54" t="n">
        <x:v>46218</x:v>
      </x:c>
      <x:c r="G418" s="54"/>
      <x:c r="H418" s="54"/>
      <x:c r="I418" s="54"/>
      <x:c r="J418" s="54"/>
      <x:c r="K418" t="n">
        <x:v>90</x:v>
      </x:c>
      <x:c r="L418" t="str">
        <x:v>P12-Y2A5</x:v>
      </x:c>
      <x:c r="M418"/>
      <x:c r="N418" s="21" t="b">
        <x:v>0</x:v>
      </x:c>
      <x:c r="O418" s="21" t="b">
        <x:v>1</x:v>
      </x:c>
      <x:c r="P418" t="str">
        <x:v>P12-CA04</x:v>
      </x:c>
      <x:c r="Q418" t="str">
        <x:v>P12-WP041</x:v>
      </x:c>
      <x:c r="R418" t="str">
        <x:v>Task</x:v>
      </x:c>
      <x:c r="S418" t="str">
        <x:v>Synthetic, industry-informed planning assumption</x:v>
      </x:c>
      <x:c r="T418" t="str">
        <x:v>Source-derived / reconstructed network</x:v>
      </x:c>
      <x:c r="U418" s="54" t="n">
        <x:v>46093</x:v>
      </x:c>
      <x:c r="V418" s="54" t="n">
        <x:v>46218</x:v>
      </x:c>
      <x:c r="W418" s="54" t="n">
        <x:v>46093</x:v>
      </x:c>
      <x:c r="X418" s="54" t="n">
        <x:v>46218</x:v>
      </x:c>
      <x:c r="Y418" s="78" t="n">
        <x:v>0</x:v>
      </x:c>
    </x:row>
    <x:row r="419" ht="21" customHeight="1">
      <x:c r="A419" t="str">
        <x:v>P12-MY2DONE</x:v>
      </x:c>
      <x:c r="B419" t="str">
        <x:v>P12</x:v>
      </x:c>
      <x:c r="C419" t="str">
        <x:v>MY2DONE</x:v>
      </x:c>
      <x:c r="D419" t="str">
        <x:v>1.12.4.1</x:v>
      </x:c>
      <x:c r="E419" s="54" t="n">
        <x:v>46218</x:v>
      </x:c>
      <x:c r="F419" s="54" t="n">
        <x:v>46218</x:v>
      </x:c>
      <x:c r="G419" s="54"/>
      <x:c r="H419" s="54"/>
      <x:c r="I419" s="54"/>
      <x:c r="J419" s="54"/>
      <x:c r="K419" t="n">
        <x:v>0</x:v>
      </x:c>
      <x:c r="L419" t="str">
        <x:v>P12-Y2A6</x:v>
      </x:c>
      <x:c r="M419"/>
      <x:c r="N419" s="21" t="b">
        <x:v>1</x:v>
      </x:c>
      <x:c r="O419" s="21" t="b">
        <x:v>0</x:v>
      </x:c>
      <x:c r="P419" t="str">
        <x:v>P12-CA04</x:v>
      </x:c>
      <x:c r="Q419" t="str">
        <x:v>P12-WP041</x:v>
      </x:c>
      <x:c r="R419" t="str">
        <x:v>Milestone</x:v>
      </x:c>
      <x:c r="S419" t="str">
        <x:v>Approved milestone / interface milestone</x:v>
      </x:c>
      <x:c r="T419" t="str">
        <x:v>Source-explicit milestone date</x:v>
      </x:c>
      <x:c r="U419" s="54" t="n">
        <x:v>46218</x:v>
      </x:c>
      <x:c r="V419" s="54" t="n">
        <x:v>46218</x:v>
      </x:c>
      <x:c r="W419" s="54" t="n">
        <x:v>46561</x:v>
      </x:c>
      <x:c r="X419" s="54" t="n">
        <x:v>46561</x:v>
      </x:c>
      <x:c r="Y419" s="78" t="n">
        <x:v>245</x:v>
      </x:c>
    </x:row>
    <x:row r="420" ht="21" customHeight="1">
      <x:c r="A420" t="str">
        <x:v>P12-Y2A7</x:v>
      </x:c>
      <x:c r="B420" t="str">
        <x:v>P12</x:v>
      </x:c>
      <x:c r="C420" t="str">
        <x:v>Year 2 Verification / Acceptance</x:v>
      </x:c>
      <x:c r="D420" t="str">
        <x:v>1.12.5.1</x:v>
      </x:c>
      <x:c r="E420" s="54" t="n">
        <x:v>46219</x:v>
      </x:c>
      <x:c r="F420" s="54" t="n">
        <x:v>46239</x:v>
      </x:c>
      <x:c r="G420" s="54"/>
      <x:c r="H420" s="54"/>
      <x:c r="I420" s="54"/>
      <x:c r="J420" s="54"/>
      <x:c r="K420" t="n">
        <x:v>15</x:v>
      </x:c>
      <x:c r="L420" t="str">
        <x:v>P12-Y2A6</x:v>
      </x:c>
      <x:c r="M420"/>
      <x:c r="N420" s="21" t="b">
        <x:v>0</x:v>
      </x:c>
      <x:c r="O420" s="21" t="b">
        <x:v>1</x:v>
      </x:c>
      <x:c r="P420" t="str">
        <x:v>P12-CA05</x:v>
      </x:c>
      <x:c r="Q420" t="str">
        <x:v>P12-WP051</x:v>
      </x:c>
      <x:c r="R420" t="str">
        <x:v>Task</x:v>
      </x:c>
      <x:c r="S420" t="str">
        <x:v>Project-type realism</x:v>
      </x:c>
      <x:c r="T420" t="str">
        <x:v>Source-derived / reconstructed network</x:v>
      </x:c>
      <x:c r="U420" s="54" t="n">
        <x:v>46219</x:v>
      </x:c>
      <x:c r="V420" s="54" t="n">
        <x:v>46239</x:v>
      </x:c>
      <x:c r="W420" s="54" t="n">
        <x:v>46219</x:v>
      </x:c>
      <x:c r="X420" s="54" t="n">
        <x:v>46239</x:v>
      </x:c>
      <x:c r="Y420" s="78" t="n">
        <x:v>0</x:v>
      </x:c>
    </x:row>
    <x:row r="421" ht="21" customHeight="1">
      <x:c r="A421" t="str">
        <x:v>P12-Y2A8</x:v>
      </x:c>
      <x:c r="B421" t="str">
        <x:v>P12</x:v>
      </x:c>
      <x:c r="C421" t="str">
        <x:v>Year 2 Closeout</x:v>
      </x:c>
      <x:c r="D421" t="str">
        <x:v>1.12.6.1</x:v>
      </x:c>
      <x:c r="E421" s="54" t="n">
        <x:v>46240</x:v>
      </x:c>
      <x:c r="F421" s="54" t="n">
        <x:v>46260</x:v>
      </x:c>
      <x:c r="G421" s="54"/>
      <x:c r="H421" s="54"/>
      <x:c r="I421" s="54"/>
      <x:c r="J421" s="54"/>
      <x:c r="K421" t="n">
        <x:v>15</x:v>
      </x:c>
      <x:c r="L421" t="str">
        <x:v>P12-Y2A7</x:v>
      </x:c>
      <x:c r="M421"/>
      <x:c r="N421" s="21" t="b">
        <x:v>0</x:v>
      </x:c>
      <x:c r="O421" s="21" t="b">
        <x:v>1</x:v>
      </x:c>
      <x:c r="P421" t="str">
        <x:v>P12-CA06</x:v>
      </x:c>
      <x:c r="Q421" t="str">
        <x:v>P12-WP061</x:v>
      </x:c>
      <x:c r="R421" t="str">
        <x:v>Task</x:v>
      </x:c>
      <x:c r="S421" t="str">
        <x:v>Project-type realism</x:v>
      </x:c>
      <x:c r="T421" t="str">
        <x:v>Source-derived / reconstructed network</x:v>
      </x:c>
      <x:c r="U421" s="54" t="n">
        <x:v>46240</x:v>
      </x:c>
      <x:c r="V421" s="54" t="n">
        <x:v>46260</x:v>
      </x:c>
      <x:c r="W421" s="54" t="n">
        <x:v>46240</x:v>
      </x:c>
      <x:c r="X421" s="54" t="n">
        <x:v>46260</x:v>
      </x:c>
      <x:c r="Y421" s="78" t="n">
        <x:v>0</x:v>
      </x:c>
    </x:row>
    <x:row r="422" ht="21" customHeight="1">
      <x:c r="A422" t="str">
        <x:v>P12-Y3A1</x:v>
      </x:c>
      <x:c r="B422" t="str">
        <x:v>P12</x:v>
      </x:c>
      <x:c r="C422" t="str">
        <x:v>Year 3 Annual Planning &amp; Prioritization Window</x:v>
      </x:c>
      <x:c r="D422" t="str">
        <x:v>1.12.1.1</x:v>
      </x:c>
      <x:c r="E422" s="54" t="n">
        <x:v>46261</x:v>
      </x:c>
      <x:c r="F422" s="54" t="n">
        <x:v>46281</x:v>
      </x:c>
      <x:c r="G422" s="54"/>
      <x:c r="H422" s="54"/>
      <x:c r="I422" s="54"/>
      <x:c r="J422" s="54"/>
      <x:c r="K422" t="n">
        <x:v>15</x:v>
      </x:c>
      <x:c r="L422" t="str">
        <x:v>P12-Y2A8</x:v>
      </x:c>
      <x:c r="M422"/>
      <x:c r="N422" s="21" t="b">
        <x:v>0</x:v>
      </x:c>
      <x:c r="O422" s="21" t="b">
        <x:v>1</x:v>
      </x:c>
      <x:c r="P422" t="str">
        <x:v>P12-CA01</x:v>
      </x:c>
      <x:c r="Q422" t="str">
        <x:v>P12-WP011</x:v>
      </x:c>
      <x:c r="R422" t="str">
        <x:v>Task</x:v>
      </x:c>
      <x:c r="S422" t="str">
        <x:v>Project-type realism</x:v>
      </x:c>
      <x:c r="T422" t="str">
        <x:v>Source-derived / reconstructed network</x:v>
      </x:c>
      <x:c r="U422" s="54" t="n">
        <x:v>46261</x:v>
      </x:c>
      <x:c r="V422" s="54" t="n">
        <x:v>46281</x:v>
      </x:c>
      <x:c r="W422" s="54" t="n">
        <x:v>46261</x:v>
      </x:c>
      <x:c r="X422" s="54" t="n">
        <x:v>46281</x:v>
      </x:c>
      <x:c r="Y422" s="78" t="n">
        <x:v>0</x:v>
      </x:c>
    </x:row>
    <x:row r="423" ht="21" customHeight="1">
      <x:c r="A423" t="str">
        <x:v>P12-MPLANY3</x:v>
      </x:c>
      <x:c r="B423" t="str">
        <x:v>P12</x:v>
      </x:c>
      <x:c r="C423" t="str">
        <x:v>MPLANY3</x:v>
      </x:c>
      <x:c r="D423" t="str">
        <x:v>1.12.1.1</x:v>
      </x:c>
      <x:c r="E423" s="54" t="n">
        <x:v>46281</x:v>
      </x:c>
      <x:c r="F423" s="54" t="n">
        <x:v>46281</x:v>
      </x:c>
      <x:c r="G423" s="54"/>
      <x:c r="H423" s="54"/>
      <x:c r="I423" s="54"/>
      <x:c r="J423" s="54"/>
      <x:c r="K423" t="n">
        <x:v>0</x:v>
      </x:c>
      <x:c r="L423" t="str">
        <x:v>P12-Y3A1</x:v>
      </x:c>
      <x:c r="M423"/>
      <x:c r="N423" s="21" t="b">
        <x:v>1</x:v>
      </x:c>
      <x:c r="O423" s="21" t="b">
        <x:v>0</x:v>
      </x:c>
      <x:c r="P423" t="str">
        <x:v>P12-CA01</x:v>
      </x:c>
      <x:c r="Q423" t="str">
        <x:v>P12-WP011</x:v>
      </x:c>
      <x:c r="R423" t="str">
        <x:v>Milestone</x:v>
      </x:c>
      <x:c r="S423" t="str">
        <x:v>Approved milestone / interface milestone</x:v>
      </x:c>
      <x:c r="T423" t="str">
        <x:v>Semantic WBS mapping corrected: annual planning milestone belongs in Planning &amp; Prioritization</x:v>
      </x:c>
      <x:c r="U423" s="54" t="n">
        <x:v>46281</x:v>
      </x:c>
      <x:c r="V423" s="54" t="n">
        <x:v>46281</x:v>
      </x:c>
      <x:c r="W423" s="54" t="n">
        <x:v>46561</x:v>
      </x:c>
      <x:c r="X423" s="54" t="n">
        <x:v>46561</x:v>
      </x:c>
      <x:c r="Y423" s="78" t="n">
        <x:v>200</x:v>
      </x:c>
    </x:row>
    <x:row r="424" ht="21" customHeight="1">
      <x:c r="A424" t="str">
        <x:v>P12-Y3A2</x:v>
      </x:c>
      <x:c r="B424" t="str">
        <x:v>P12</x:v>
      </x:c>
      <x:c r="C424" t="str">
        <x:v>Year 3 Intake &amp; Triage of Small-Capital/Emergency Needs</x:v>
      </x:c>
      <x:c r="D424" t="str">
        <x:v>1.12.1.1</x:v>
      </x:c>
      <x:c r="E424" s="54" t="n">
        <x:v>46282</x:v>
      </x:c>
      <x:c r="F424" s="54" t="n">
        <x:v>46309</x:v>
      </x:c>
      <x:c r="G424" s="54"/>
      <x:c r="H424" s="54"/>
      <x:c r="I424" s="54"/>
      <x:c r="J424" s="54"/>
      <x:c r="K424" t="n">
        <x:v>20</x:v>
      </x:c>
      <x:c r="L424" t="str">
        <x:v>P12-Y3A1</x:v>
      </x:c>
      <x:c r="M424"/>
      <x:c r="N424" s="21" t="b">
        <x:v>0</x:v>
      </x:c>
      <x:c r="O424" s="21" t="b">
        <x:v>1</x:v>
      </x:c>
      <x:c r="P424" t="str">
        <x:v>P12-CA01</x:v>
      </x:c>
      <x:c r="Q424" t="str">
        <x:v>P12-WP011</x:v>
      </x:c>
      <x:c r="R424" t="str">
        <x:v>Task</x:v>
      </x:c>
      <x:c r="S424" t="str">
        <x:v>Project-type realism</x:v>
      </x:c>
      <x:c r="T424" t="str">
        <x:v>Source-derived / reconstructed network</x:v>
      </x:c>
      <x:c r="U424" s="54" t="n">
        <x:v>46282</x:v>
      </x:c>
      <x:c r="V424" s="54" t="n">
        <x:v>46309</x:v>
      </x:c>
      <x:c r="W424" s="54" t="n">
        <x:v>46282</x:v>
      </x:c>
      <x:c r="X424" s="54" t="n">
        <x:v>46309</x:v>
      </x:c>
      <x:c r="Y424" s="78" t="n">
        <x:v>0</x:v>
      </x:c>
    </x:row>
    <x:row r="425" ht="21" customHeight="1">
      <x:c r="A425" t="str">
        <x:v>P12-Y3A3</x:v>
      </x:c>
      <x:c r="B425" t="str">
        <x:v>P12</x:v>
      </x:c>
      <x:c r="C425" t="str">
        <x:v>Year 3 Scope Development</x:v>
      </x:c>
      <x:c r="D425" t="str">
        <x:v>1.12.2.1</x:v>
      </x:c>
      <x:c r="E425" s="54" t="n">
        <x:v>46310</x:v>
      </x:c>
      <x:c r="F425" s="54" t="n">
        <x:v>46337</x:v>
      </x:c>
      <x:c r="G425" s="54"/>
      <x:c r="H425" s="54"/>
      <x:c r="I425" s="54"/>
      <x:c r="J425" s="54"/>
      <x:c r="K425" t="n">
        <x:v>20</x:v>
      </x:c>
      <x:c r="L425" t="str">
        <x:v>P12-Y3A2</x:v>
      </x:c>
      <x:c r="M425"/>
      <x:c r="N425" s="21" t="b">
        <x:v>0</x:v>
      </x:c>
      <x:c r="O425" s="21" t="b">
        <x:v>1</x:v>
      </x:c>
      <x:c r="P425" t="str">
        <x:v>P12-CA02</x:v>
      </x:c>
      <x:c r="Q425" t="str">
        <x:v>P12-WP021</x:v>
      </x:c>
      <x:c r="R425" t="str">
        <x:v>Task</x:v>
      </x:c>
      <x:c r="S425" t="str">
        <x:v>Project-type realism</x:v>
      </x:c>
      <x:c r="T425" t="str">
        <x:v>Semantic WBS mapping corrected: scope development belongs in Design / Scope Development</x:v>
      </x:c>
      <x:c r="U425" s="54" t="n">
        <x:v>46310</x:v>
      </x:c>
      <x:c r="V425" s="54" t="n">
        <x:v>46337</x:v>
      </x:c>
      <x:c r="W425" s="54" t="n">
        <x:v>46310</x:v>
      </x:c>
      <x:c r="X425" s="54" t="n">
        <x:v>46337</x:v>
      </x:c>
      <x:c r="Y425" s="78" t="n">
        <x:v>0</x:v>
      </x:c>
    </x:row>
    <x:row r="426" ht="21" customHeight="1">
      <x:c r="A426" t="str">
        <x:v>P12-Y3A4</x:v>
      </x:c>
      <x:c r="B426" t="str">
        <x:v>P12</x:v>
      </x:c>
      <x:c r="C426" t="str">
        <x:v>Year 3 Rapid Design / Standard-Detail Development</x:v>
      </x:c>
      <x:c r="D426" t="str">
        <x:v>1.12.2.1</x:v>
      </x:c>
      <x:c r="E426" s="54" t="n">
        <x:v>46338</x:v>
      </x:c>
      <x:c r="F426" s="54" t="n">
        <x:v>46358</x:v>
      </x:c>
      <x:c r="G426" s="54"/>
      <x:c r="H426" s="54"/>
      <x:c r="I426" s="54"/>
      <x:c r="J426" s="54"/>
      <x:c r="K426" t="n">
        <x:v>15</x:v>
      </x:c>
      <x:c r="L426" t="str">
        <x:v>P12-Y3A3</x:v>
      </x:c>
      <x:c r="M426"/>
      <x:c r="N426" s="21" t="b">
        <x:v>0</x:v>
      </x:c>
      <x:c r="O426" s="21" t="b">
        <x:v>1</x:v>
      </x:c>
      <x:c r="P426" t="str">
        <x:v>P12-CA02</x:v>
      </x:c>
      <x:c r="Q426" t="str">
        <x:v>P12-WP021</x:v>
      </x:c>
      <x:c r="R426" t="str">
        <x:v>Task</x:v>
      </x:c>
      <x:c r="S426" t="str">
        <x:v>Project-type realism</x:v>
      </x:c>
      <x:c r="T426" t="str">
        <x:v>Source-derived / reconstructed network</x:v>
      </x:c>
      <x:c r="U426" s="54" t="n">
        <x:v>46338</x:v>
      </x:c>
      <x:c r="V426" s="54" t="n">
        <x:v>46358</x:v>
      </x:c>
      <x:c r="W426" s="54" t="n">
        <x:v>46338</x:v>
      </x:c>
      <x:c r="X426" s="54" t="n">
        <x:v>46358</x:v>
      </x:c>
      <x:c r="Y426" s="78" t="n">
        <x:v>0</x:v>
      </x:c>
    </x:row>
    <x:row r="427" ht="21" customHeight="1">
      <x:c r="A427" t="str">
        <x:v>P12-Y3A5</x:v>
      </x:c>
      <x:c r="B427" t="str">
        <x:v>P12</x:v>
      </x:c>
      <x:c r="C427" t="str">
        <x:v>Year 3 Procurement / Task-Order Assignment</x:v>
      </x:c>
      <x:c r="D427" t="str">
        <x:v>1.12.3.1</x:v>
      </x:c>
      <x:c r="E427" s="54" t="n">
        <x:v>46359</x:v>
      </x:c>
      <x:c r="F427" s="54" t="n">
        <x:v>46393</x:v>
      </x:c>
      <x:c r="G427" s="54"/>
      <x:c r="H427" s="54"/>
      <x:c r="I427" s="54"/>
      <x:c r="J427" s="54"/>
      <x:c r="K427" t="n">
        <x:v>25</x:v>
      </x:c>
      <x:c r="L427" t="str">
        <x:v>P12-Y3A4</x:v>
      </x:c>
      <x:c r="M427"/>
      <x:c r="N427" s="21" t="b">
        <x:v>0</x:v>
      </x:c>
      <x:c r="O427" s="21" t="b">
        <x:v>1</x:v>
      </x:c>
      <x:c r="P427" t="str">
        <x:v>P12-CA03</x:v>
      </x:c>
      <x:c r="Q427" t="str">
        <x:v>P12-WP031</x:v>
      </x:c>
      <x:c r="R427" t="str">
        <x:v>Task</x:v>
      </x:c>
      <x:c r="S427" t="str">
        <x:v>Synthetic project assumption — standing on-call/task-order contract</x:v>
      </x:c>
      <x:c r="T427" t="str">
        <x:v>Semantic WBS mapping corrected: procurement/task-order assignment belongs in Procurement</x:v>
      </x:c>
      <x:c r="U427" s="54" t="n">
        <x:v>46359</x:v>
      </x:c>
      <x:c r="V427" s="54" t="n">
        <x:v>46393</x:v>
      </x:c>
      <x:c r="W427" s="54" t="n">
        <x:v>46359</x:v>
      </x:c>
      <x:c r="X427" s="54" t="n">
        <x:v>46393</x:v>
      </x:c>
      <x:c r="Y427" s="78" t="n">
        <x:v>0</x:v>
      </x:c>
    </x:row>
    <x:row r="428" ht="21" customHeight="1">
      <x:c r="A428" t="str">
        <x:v>P12-Y3A6</x:v>
      </x:c>
      <x:c r="B428" t="str">
        <x:v>P12</x:v>
      </x:c>
      <x:c r="C428" t="str">
        <x:v>Year 3 Field Execution</x:v>
      </x:c>
      <x:c r="D428" t="str">
        <x:v>1.12.4.1</x:v>
      </x:c>
      <x:c r="E428" s="54" t="n">
        <x:v>46394</x:v>
      </x:c>
      <x:c r="F428" s="54" t="n">
        <x:v>46519</x:v>
      </x:c>
      <x:c r="G428" s="54"/>
      <x:c r="H428" s="54"/>
      <x:c r="I428" s="54"/>
      <x:c r="J428" s="54"/>
      <x:c r="K428" t="n">
        <x:v>90</x:v>
      </x:c>
      <x:c r="L428" t="str">
        <x:v>P12-Y3A5</x:v>
      </x:c>
      <x:c r="M428"/>
      <x:c r="N428" s="21" t="b">
        <x:v>0</x:v>
      </x:c>
      <x:c r="O428" s="21" t="b">
        <x:v>1</x:v>
      </x:c>
      <x:c r="P428" t="str">
        <x:v>P12-CA04</x:v>
      </x:c>
      <x:c r="Q428" t="str">
        <x:v>P12-WP041</x:v>
      </x:c>
      <x:c r="R428" t="str">
        <x:v>Task</x:v>
      </x:c>
      <x:c r="S428" t="str">
        <x:v>Synthetic, industry-informed planning assumption</x:v>
      </x:c>
      <x:c r="T428" t="str">
        <x:v>Source-derived / reconstructed network</x:v>
      </x:c>
      <x:c r="U428" s="54" t="n">
        <x:v>46394</x:v>
      </x:c>
      <x:c r="V428" s="54" t="n">
        <x:v>46519</x:v>
      </x:c>
      <x:c r="W428" s="54" t="n">
        <x:v>46394</x:v>
      </x:c>
      <x:c r="X428" s="54" t="n">
        <x:v>46519</x:v>
      </x:c>
      <x:c r="Y428" s="78" t="n">
        <x:v>0</x:v>
      </x:c>
    </x:row>
    <x:row r="429" ht="21" customHeight="1">
      <x:c r="A429" t="str">
        <x:v>P12-MY3DONE</x:v>
      </x:c>
      <x:c r="B429" t="str">
        <x:v>P12</x:v>
      </x:c>
      <x:c r="C429" t="str">
        <x:v>MY3DONE</x:v>
      </x:c>
      <x:c r="D429" t="str">
        <x:v>1.12.4.1</x:v>
      </x:c>
      <x:c r="E429" s="54" t="n">
        <x:v>46519</x:v>
      </x:c>
      <x:c r="F429" s="54" t="n">
        <x:v>46519</x:v>
      </x:c>
      <x:c r="G429" s="54"/>
      <x:c r="H429" s="54"/>
      <x:c r="I429" s="54"/>
      <x:c r="J429" s="54"/>
      <x:c r="K429" t="n">
        <x:v>0</x:v>
      </x:c>
      <x:c r="L429" t="str">
        <x:v>P12-Y3A6</x:v>
      </x:c>
      <x:c r="M429"/>
      <x:c r="N429" s="21" t="b">
        <x:v>1</x:v>
      </x:c>
      <x:c r="O429" s="21" t="b">
        <x:v>0</x:v>
      </x:c>
      <x:c r="P429" t="str">
        <x:v>P12-CA04</x:v>
      </x:c>
      <x:c r="Q429" t="str">
        <x:v>P12-WP041</x:v>
      </x:c>
      <x:c r="R429" t="str">
        <x:v>Milestone</x:v>
      </x:c>
      <x:c r="S429" t="str">
        <x:v>Approved milestone / interface milestone</x:v>
      </x:c>
      <x:c r="T429" t="str">
        <x:v>Source-explicit milestone date</x:v>
      </x:c>
      <x:c r="U429" s="54" t="n">
        <x:v>46519</x:v>
      </x:c>
      <x:c r="V429" s="54" t="n">
        <x:v>46519</x:v>
      </x:c>
      <x:c r="W429" s="54" t="n">
        <x:v>46561</x:v>
      </x:c>
      <x:c r="X429" s="54" t="n">
        <x:v>46561</x:v>
      </x:c>
      <x:c r="Y429" s="78" t="n">
        <x:v>30</x:v>
      </x:c>
    </x:row>
    <x:row r="430" ht="21" customHeight="1">
      <x:c r="A430" t="str">
        <x:v>P12-Y3A7</x:v>
      </x:c>
      <x:c r="B430" t="str">
        <x:v>P12</x:v>
      </x:c>
      <x:c r="C430" t="str">
        <x:v>Year 3 Verification / Acceptance</x:v>
      </x:c>
      <x:c r="D430" t="str">
        <x:v>1.12.5.1</x:v>
      </x:c>
      <x:c r="E430" s="54" t="n">
        <x:v>46520</x:v>
      </x:c>
      <x:c r="F430" s="54" t="n">
        <x:v>46540</x:v>
      </x:c>
      <x:c r="G430" s="54"/>
      <x:c r="H430" s="54"/>
      <x:c r="I430" s="54"/>
      <x:c r="J430" s="54"/>
      <x:c r="K430" t="n">
        <x:v>15</x:v>
      </x:c>
      <x:c r="L430" t="str">
        <x:v>P12-Y3A6</x:v>
      </x:c>
      <x:c r="M430"/>
      <x:c r="N430" s="21" t="b">
        <x:v>0</x:v>
      </x:c>
      <x:c r="O430" s="21" t="b">
        <x:v>1</x:v>
      </x:c>
      <x:c r="P430" t="str">
        <x:v>P12-CA05</x:v>
      </x:c>
      <x:c r="Q430" t="str">
        <x:v>P12-WP051</x:v>
      </x:c>
      <x:c r="R430" t="str">
        <x:v>Task</x:v>
      </x:c>
      <x:c r="S430" t="str">
        <x:v>Project-type realism</x:v>
      </x:c>
      <x:c r="T430" t="str">
        <x:v>Source-derived / reconstructed network</x:v>
      </x:c>
      <x:c r="U430" s="54" t="n">
        <x:v>46520</x:v>
      </x:c>
      <x:c r="V430" s="54" t="n">
        <x:v>46540</x:v>
      </x:c>
      <x:c r="W430" s="54" t="n">
        <x:v>46520</x:v>
      </x:c>
      <x:c r="X430" s="54" t="n">
        <x:v>46540</x:v>
      </x:c>
      <x:c r="Y430" s="78" t="n">
        <x:v>0</x:v>
      </x:c>
    </x:row>
    <x:row r="431" ht="21" customHeight="1">
      <x:c r="A431" t="str">
        <x:v>P12-Y3A8</x:v>
      </x:c>
      <x:c r="B431" t="str">
        <x:v>P12</x:v>
      </x:c>
      <x:c r="C431" t="str">
        <x:v>Year 3 Closeout</x:v>
      </x:c>
      <x:c r="D431" t="str">
        <x:v>1.12.6.1</x:v>
      </x:c>
      <x:c r="E431" s="54" t="n">
        <x:v>46541</x:v>
      </x:c>
      <x:c r="F431" s="54" t="n">
        <x:v>46561</x:v>
      </x:c>
      <x:c r="G431" s="54"/>
      <x:c r="H431" s="54"/>
      <x:c r="I431" s="54"/>
      <x:c r="J431" s="54"/>
      <x:c r="K431" t="n">
        <x:v>15</x:v>
      </x:c>
      <x:c r="L431" t="str">
        <x:v>P12-Y3A7</x:v>
      </x:c>
      <x:c r="M431"/>
      <x:c r="N431" s="21" t="b">
        <x:v>0</x:v>
      </x:c>
      <x:c r="O431" s="21" t="b">
        <x:v>1</x:v>
      </x:c>
      <x:c r="P431" t="str">
        <x:v>P12-CA06</x:v>
      </x:c>
      <x:c r="Q431" t="str">
        <x:v>P12-WP061</x:v>
      </x:c>
      <x:c r="R431" t="str">
        <x:v>Task</x:v>
      </x:c>
      <x:c r="S431" t="str">
        <x:v>Project-type realism</x:v>
      </x:c>
      <x:c r="T431" t="str">
        <x:v>Source-derived / reconstructed network</x:v>
      </x:c>
      <x:c r="U431" s="54" t="n">
        <x:v>46541</x:v>
      </x:c>
      <x:c r="V431" s="54" t="n">
        <x:v>46561</x:v>
      </x:c>
      <x:c r="W431" s="54" t="n">
        <x:v>46541</x:v>
      </x:c>
      <x:c r="X431" s="54" t="n">
        <x:v>46561</x:v>
      </x:c>
      <x:c r="Y431" s="78" t="n">
        <x:v>0</x:v>
      </x:c>
    </x:row>
    <x:row r="432" ht="21" customHeight="1">
      <x:c r="A432" t="str">
        <x:v>P12-MPROGCLOSE</x:v>
      </x:c>
      <x:c r="B432" t="str">
        <x:v>P12</x:v>
      </x:c>
      <x:c r="C432" t="str">
        <x:v>MPROGCLOSE</x:v>
      </x:c>
      <x:c r="D432" t="str">
        <x:v>1.12.6.1</x:v>
      </x:c>
      <x:c r="E432" s="54" t="n">
        <x:v>46561</x:v>
      </x:c>
      <x:c r="F432" s="54" t="n">
        <x:v>46561</x:v>
      </x:c>
      <x:c r="G432" s="54"/>
      <x:c r="H432" s="54"/>
      <x:c r="I432" s="54"/>
      <x:c r="J432" s="54"/>
      <x:c r="K432" t="n">
        <x:v>0</x:v>
      </x:c>
      <x:c r="L432" t="str">
        <x:v>P12-Y3A8</x:v>
      </x:c>
      <x:c r="M432"/>
      <x:c r="N432" s="21" t="b">
        <x:v>1</x:v>
      </x:c>
      <x:c r="O432" s="21" t="b">
        <x:v>1</x:v>
      </x:c>
      <x:c r="P432" t="str">
        <x:v>P12-CA06</x:v>
      </x:c>
      <x:c r="Q432" t="str">
        <x:v>P12-WP061</x:v>
      </x:c>
      <x:c r="R432" t="str">
        <x:v>Milestone</x:v>
      </x:c>
      <x:c r="S432" t="str">
        <x:v>Approved milestone / interface milestone</x:v>
      </x:c>
      <x:c r="T432" t="str">
        <x:v>Semantic WBS mapping corrected: program close milestone belongs in Closeout</x:v>
      </x:c>
      <x:c r="U432" s="54" t="n">
        <x:v>46561</x:v>
      </x:c>
      <x:c r="V432" s="54" t="n">
        <x:v>46561</x:v>
      </x:c>
      <x:c r="W432" s="54" t="n">
        <x:v>46561</x:v>
      </x:c>
      <x:c r="X432" s="54" t="n">
        <x:v>46561</x:v>
      </x:c>
      <x:c r="Y432" s="78" t="n">
        <x:v>0</x:v>
      </x:c>
    </x:row>
  </x:sheetData>
  <x:mergeCells>
    <x:mergeCell ref="A1:O1"/>
    <x:mergeCell ref="A2:O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5"/>
  <x:cols>
    <x:col min="1" max="9" width="20" hidden="0" customWidth="1"/>
  </x:cols>
  <x:sheetData>
    <x:row r="1" ht="17.350000381469727" hidden="0">
      <x:c r="A1" s="4" t="s">
        <x:v>807</x:v>
      </x:c>
      <x:c r="B1" s="4"/>
      <x:c r="C1" s="4"/>
      <x:c r="D1" s="4"/>
      <x:c r="E1" s="4"/>
      <x:c r="F1" s="4"/>
      <x:c r="G1" s="4"/>
      <x:c r="H1" s="4"/>
      <x:c r="I1" s="4"/>
    </x:row>
    <x:row r="2" ht="15" hidden="0">
      <x:c r="A2" s="5" t="s">
        <x:v>808</x:v>
      </x:c>
      <x:c r="B2" s="5"/>
      <x:c r="C2" s="5"/>
      <x:c r="D2" s="5"/>
      <x:c r="E2" s="5"/>
      <x:c r="F2" s="5"/>
      <x:c r="G2" s="5"/>
      <x:c r="H2" s="5"/>
      <x:c r="I2" s="5"/>
    </x:row>
    <x:row r="4" ht="26.850000381469727" hidden="0">
      <x:c r="A4" s="6" t="s">
        <x:v>809</x:v>
      </x:c>
      <x:c r="B4" s="6" t="s">
        <x:v>23</x:v>
      </x:c>
      <x:c r="C4" s="6" t="s">
        <x:v>810</x:v>
      </x:c>
      <x:c r="D4" s="6" t="s">
        <x:v>811</x:v>
      </x:c>
      <x:c r="E4" s="6" t="s">
        <x:v>812</x:v>
      </x:c>
      <x:c r="F4" s="6" t="s">
        <x:v>813</x:v>
      </x:c>
      <x:c r="G4" s="6" t="s">
        <x:v>814</x:v>
      </x:c>
      <x:c r="H4" s="6" t="s">
        <x:v>815</x:v>
      </x:c>
      <x:c r="I4" s="6" t="s">
        <x:v>816</x:v>
      </x:c>
    </x:row>
  </x:sheetData>
  <x:mergeCells>
    <x:mergeCell ref="A1:I1"/>
    <x:mergeCell ref="A2:I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5"/>
  <x:cols>
    <x:col min="1" max="13" width="20" hidden="0" customWidth="1"/>
  </x:cols>
  <x:sheetData>
    <x:row r="1" ht="17.350000381469727" hidden="0">
      <x:c r="A1" s="4" t="s">
        <x:v>817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</x:row>
    <x:row r="2" ht="15" hidden="0">
      <x:c r="A2" s="5" t="s">
        <x:v>818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</x:row>
    <x:row r="4" ht="15" hidden="0">
      <x:c r="A4" s="6" t="s">
        <x:v>23</x:v>
      </x:c>
      <x:c r="B4" s="6" t="s">
        <x:v>27</x:v>
      </x:c>
      <x:c r="C4" s="6" t="s">
        <x:v>819</x:v>
      </x:c>
      <x:c r="D4" s="6" t="s">
        <x:v>820</x:v>
      </x:c>
      <x:c r="E4" s="6" t="s">
        <x:v>821</x:v>
      </x:c>
      <x:c r="F4" s="6" t="s">
        <x:v>822</x:v>
      </x:c>
      <x:c r="G4" s="6" t="s">
        <x:v>823</x:v>
      </x:c>
      <x:c r="H4" s="6" t="s">
        <x:v>824</x:v>
      </x:c>
      <x:c r="I4" s="6" t="s">
        <x:v>825</x:v>
      </x:c>
      <x:c r="J4" s="6" t="s">
        <x:v>826</x:v>
      </x:c>
      <x:c r="K4" s="6" t="s">
        <x:v>827</x:v>
      </x:c>
      <x:c r="L4" s="6" t="s">
        <x:v>828</x:v>
      </x:c>
      <x:c r="M4" s="6" t="s">
        <x:v>829</x:v>
      </x:c>
    </x:row>
  </x:sheetData>
  <x:mergeCells>
    <x:mergeCell ref="A1:M1"/>
    <x:mergeCell ref="A2:M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5"/>
  <x:cols>
    <x:col min="1" max="14" width="20" hidden="0" customWidth="1"/>
  </x:cols>
  <x:sheetData>
    <x:row r="1" ht="17.350000381469727" hidden="0">
      <x:c r="A1" s="4" t="s">
        <x:v>830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15" hidden="0">
      <x:c r="A2" s="5" t="s">
        <x:v>831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</x:row>
    <x:row r="4" ht="26.850000381469727" hidden="0">
      <x:c r="A4" s="6" t="s">
        <x:v>832</x:v>
      </x:c>
      <x:c r="B4" s="6" t="s">
        <x:v>23</x:v>
      </x:c>
      <x:c r="C4" s="6" t="s">
        <x:v>833</x:v>
      </x:c>
      <x:c r="D4" s="6" t="s">
        <x:v>834</x:v>
      </x:c>
      <x:c r="E4" s="6" t="s">
        <x:v>835</x:v>
      </x:c>
      <x:c r="F4" s="6" t="s">
        <x:v>836</x:v>
      </x:c>
      <x:c r="G4" s="6" t="s">
        <x:v>837</x:v>
      </x:c>
      <x:c r="H4" s="6" t="s">
        <x:v>838</x:v>
      </x:c>
      <x:c r="I4" s="6" t="s">
        <x:v>839</x:v>
      </x:c>
      <x:c r="J4" s="6" t="s">
        <x:v>840</x:v>
      </x:c>
      <x:c r="K4" s="6" t="s">
        <x:v>841</x:v>
      </x:c>
      <x:c r="L4" s="6" t="s">
        <x:v>842</x:v>
      </x:c>
      <x:c r="M4" s="6" t="s">
        <x:v>843</x:v>
      </x:c>
      <x:c r="N4" s="6" t="s">
        <x:v>844</x:v>
      </x:c>
    </x:row>
  </x:sheetData>
  <x:mergeCells>
    <x:mergeCell ref="A1:N1"/>
    <x:mergeCell ref="A2:N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5"/>
  <x:cols>
    <x:col min="1" max="10" width="20" hidden="0" customWidth="1"/>
  </x:cols>
  <x:sheetData>
    <x:row r="1" ht="17.350000381469727" hidden="0">
      <x:c r="A1" s="4" t="s">
        <x:v>845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15" hidden="0">
      <x:c r="A2" s="5" t="s">
        <x:v>846</x:v>
      </x:c>
      <x:c r="B2" s="5"/>
      <x:c r="C2" s="5"/>
      <x:c r="D2" s="5"/>
      <x:c r="E2" s="5"/>
      <x:c r="F2" s="5"/>
      <x:c r="G2" s="5"/>
      <x:c r="H2" s="5"/>
      <x:c r="I2" s="5"/>
      <x:c r="J2" s="5"/>
    </x:row>
    <x:row r="4" ht="26.850000381469727" hidden="0">
      <x:c r="A4" s="6" t="s">
        <x:v>847</x:v>
      </x:c>
      <x:c r="B4" s="6" t="s">
        <x:v>23</x:v>
      </x:c>
      <x:c r="C4" s="6" t="s">
        <x:v>848</x:v>
      </x:c>
      <x:c r="D4" s="6" t="s">
        <x:v>849</x:v>
      </x:c>
      <x:c r="E4" s="6" t="s">
        <x:v>850</x:v>
      </x:c>
      <x:c r="F4" s="6" t="s">
        <x:v>851</x:v>
      </x:c>
      <x:c r="G4" s="6" t="s">
        <x:v>852</x:v>
      </x:c>
      <x:c r="H4" s="6" t="s">
        <x:v>853</x:v>
      </x:c>
      <x:c r="I4" s="6" t="s">
        <x:v>854</x:v>
      </x:c>
      <x:c r="J4" s="6" t="s">
        <x:v>855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5"/>
  <x:cols>
    <x:col min="1" max="5" width="20" hidden="0" customWidth="1"/>
  </x:cols>
  <x:sheetData>
    <x:row r="1" ht="17.350000381469727" hidden="0">
      <x:c r="A1" s="4" t="s">
        <x:v>856</x:v>
      </x:c>
      <x:c r="B1" s="4"/>
      <x:c r="C1" s="4"/>
      <x:c r="D1" s="4"/>
      <x:c r="E1" s="4"/>
    </x:row>
    <x:row r="2" ht="15" hidden="0">
      <x:c r="A2" s="5" t="s">
        <x:v>857</x:v>
      </x:c>
      <x:c r="B2" s="5"/>
      <x:c r="C2" s="5"/>
      <x:c r="D2" s="5"/>
      <x:c r="E2" s="5"/>
    </x:row>
    <x:row r="4" ht="15" hidden="0">
      <x:c r="A4" s="6" t="s">
        <x:v>809</x:v>
      </x:c>
      <x:c r="B4" s="6" t="s">
        <x:v>23</x:v>
      </x:c>
      <x:c r="C4" s="6" t="s">
        <x:v>858</x:v>
      </x:c>
      <x:c r="D4" s="6" t="s">
        <x:v>859</x:v>
      </x:c>
      <x:c r="E4" s="6" t="s">
        <x:v>860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5"/>
  <x:cols>
    <x:col min="1" max="7" width="20" hidden="0" customWidth="1"/>
  </x:cols>
  <x:sheetData>
    <x:row r="1" ht="17.350000381469727" hidden="0">
      <x:c r="A1" s="4" t="s">
        <x:v>861</x:v>
      </x:c>
      <x:c r="B1" s="4"/>
      <x:c r="C1" s="4"/>
      <x:c r="D1" s="4"/>
      <x:c r="E1" s="4"/>
      <x:c r="F1" s="4"/>
      <x:c r="G1" s="4"/>
    </x:row>
    <x:row r="2" ht="15" hidden="0">
      <x:c r="A2" s="5" t="s">
        <x:v>862</x:v>
      </x:c>
      <x:c r="B2" s="5"/>
      <x:c r="C2" s="5"/>
      <x:c r="D2" s="5"/>
      <x:c r="E2" s="5"/>
      <x:c r="F2" s="5"/>
      <x:c r="G2" s="5"/>
    </x:row>
    <x:row r="4" ht="15" hidden="0">
      <x:c r="A4" s="6" t="s">
        <x:v>863</x:v>
      </x:c>
      <x:c r="B4" s="6" t="s">
        <x:v>864</x:v>
      </x:c>
      <x:c r="C4" s="6" t="s">
        <x:v>858</x:v>
      </x:c>
      <x:c r="D4" s="6" t="s">
        <x:v>23</x:v>
      </x:c>
      <x:c r="E4" s="6" t="s">
        <x:v>865</x:v>
      </x:c>
      <x:c r="F4" s="6" t="s">
        <x:v>844</x:v>
      </x:c>
      <x:c r="G4" s="6" t="s">
        <x:v>866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5"/>
  <x:cols>
    <x:col min="1" max="8" width="20" hidden="0" customWidth="1"/>
  </x:cols>
  <x:sheetData>
    <x:row r="1" ht="17.350000381469727" hidden="0">
      <x:c r="A1" s="4" t="s">
        <x:v>867</x:v>
      </x:c>
      <x:c r="B1" s="4"/>
      <x:c r="C1" s="4"/>
      <x:c r="D1" s="4"/>
      <x:c r="E1" s="4"/>
      <x:c r="F1" s="4"/>
      <x:c r="G1" s="4"/>
      <x:c r="H1" s="4"/>
    </x:row>
    <x:row r="2" ht="15" hidden="0">
      <x:c r="A2" s="5" t="s">
        <x:v>868</x:v>
      </x:c>
      <x:c r="B2" s="5"/>
      <x:c r="C2" s="5"/>
      <x:c r="D2" s="5"/>
      <x:c r="E2" s="5"/>
      <x:c r="F2" s="5"/>
      <x:c r="G2" s="5"/>
      <x:c r="H2" s="5"/>
    </x:row>
    <x:row r="4" ht="15" hidden="0">
      <x:c r="A4" s="6" t="s">
        <x:v>869</x:v>
      </x:c>
      <x:c r="B4" s="6" t="s">
        <x:v>23</x:v>
      </x:c>
      <x:c r="C4" s="6" t="s">
        <x:v>870</x:v>
      </x:c>
      <x:c r="D4" s="6" t="s">
        <x:v>871</x:v>
      </x:c>
      <x:c r="E4" s="6" t="s">
        <x:v>872</x:v>
      </x:c>
      <x:c r="F4" s="6" t="s">
        <x:v>873</x:v>
      </x:c>
      <x:c r="G4" s="6" t="s">
        <x:v>874</x:v>
      </x:c>
      <x:c r="H4" s="6" t="s">
        <x:v>844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5"/>
  <x:cols>
    <x:col min="1" max="4" width="20" hidden="0" customWidth="1"/>
  </x:cols>
  <x:sheetData>
    <x:row r="1" ht="17.350000381469727" hidden="0">
      <x:c r="A1" s="4" t="s">
        <x:v>875</x:v>
      </x:c>
      <x:c r="B1" s="4"/>
      <x:c r="C1" s="4"/>
      <x:c r="D1" s="4"/>
    </x:row>
    <x:row r="2" ht="15" hidden="0">
      <x:c r="A2" s="5" t="s">
        <x:v>876</x:v>
      </x:c>
      <x:c r="B2" s="5"/>
      <x:c r="C2" s="5"/>
      <x:c r="D2" s="5"/>
    </x:row>
    <x:row r="4" ht="15" hidden="0">
      <x:c r="A4" s="6" t="s">
        <x:v>877</x:v>
      </x:c>
      <x:c r="B4" s="6" t="s">
        <x:v>878</x:v>
      </x:c>
      <x:c r="C4" s="6" t="s">
        <x:v>879</x:v>
      </x:c>
      <x:c r="D4" s="6" t="s">
        <x:v>880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5"/>
  <x:cols>
    <x:col min="1" max="3" width="20" hidden="0" customWidth="1"/>
  </x:cols>
  <x:sheetData>
    <x:row r="1" ht="17.350000381469727" hidden="0">
      <x:c r="A1" s="4" t="s">
        <x:v>881</x:v>
      </x:c>
      <x:c r="B1" s="4"/>
      <x:c r="C1" s="4"/>
      <x:c r="D1" s="4"/>
    </x:row>
    <x:row r="2" ht="15" hidden="0">
      <x:c r="A2" s="5" t="s">
        <x:v>882</x:v>
      </x:c>
      <x:c r="B2" s="5"/>
      <x:c r="C2" s="5"/>
      <x:c r="D2" s="5"/>
    </x:row>
    <x:row r="4" ht="15" hidden="0">
      <x:c r="A4" s="6" t="s">
        <x:v>883</x:v>
      </x:c>
      <x:c r="B4" s="6" t="s">
        <x:v>884</x:v>
      </x:c>
      <x:c r="C4" s="6" t="s">
        <x:v>885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17" hidden="0" customWidth="1"/>
    <x:col min="3" max="3" width="32" hidden="0" customWidth="1"/>
    <x:col min="4" max="4" width="32" hidden="0" customWidth="1"/>
    <x:col min="5" max="5" width="16" hidden="0" customWidth="1"/>
    <x:col min="6" max="6" width="13" hidden="0" customWidth="1"/>
    <x:col min="7" max="7" width="20" hidden="0" customWidth="1"/>
    <x:col min="8" max="8" width="65" hidden="0" customWidth="1"/>
  </x:cols>
  <x:sheetData>
    <x:row r="1">
      <x:c r="A1" t="str">
        <x:v>HWSD — Approved Baseline Dependency Network</x:v>
      </x:c>
    </x:row>
    <x:row r="2">
      <x:c r="A2" t="str">
        <x:v>498 relationships, including four P03/P08→P10 cross-project interfaces. FS/SS/FF business-day lags; schedule CPM not yet certified.</x:v>
      </x:c>
    </x:row>
    <x:row r="4" ht="35" customHeight="1">
      <x:c r="A4" s="48" t="str">
        <x:v>Relationship_ID</x:v>
      </x:c>
      <x:c r="B4" s="48" t="str">
        <x:v>Project_ID</x:v>
      </x:c>
      <x:c r="C4" s="48" t="str">
        <x:v>Predecessor_Activity_ID</x:v>
      </x:c>
      <x:c r="D4" s="48" t="str">
        <x:v>Successor_Activity_ID</x:v>
      </x:c>
      <x:c r="E4" s="48" t="str">
        <x:v>Relationship_Type</x:v>
      </x:c>
      <x:c r="F4" s="48" t="str">
        <x:v>Lag_Days</x:v>
      </x:c>
      <x:c r="G4" s="48" t="str">
        <x:v>Relationship_Scope</x:v>
      </x:c>
      <x:c r="H4" s="48" t="str">
        <x:v>Recovery_Status</x:v>
      </x:c>
    </x:row>
    <x:row r="5" ht="21" customHeight="1">
      <x:c r="A5" t="str">
        <x:v>R0001</x:v>
      </x:c>
      <x:c r="B5" t="str">
        <x:v>P01</x:v>
      </x:c>
      <x:c r="C5" t="str">
        <x:v>P01-A1</x:v>
      </x:c>
      <x:c r="D5" t="str">
        <x:v>P01-A2</x:v>
      </x:c>
      <x:c r="E5" t="str">
        <x:v>FS</x:v>
      </x:c>
      <x:c r="F5" t="n">
        <x:v>0</x:v>
      </x:c>
      <x:c r="G5" t="str">
        <x:v>Within Project</x:v>
      </x:c>
      <x:c r="H5" t="str">
        <x:v>Reconstructed from approved narrative/logic</x:v>
      </x:c>
    </x:row>
    <x:row r="6" ht="21" customHeight="1">
      <x:c r="A6" t="str">
        <x:v>R0002</x:v>
      </x:c>
      <x:c r="B6" t="str">
        <x:v>P01</x:v>
      </x:c>
      <x:c r="C6" t="str">
        <x:v>P01-A2</x:v>
      </x:c>
      <x:c r="D6" t="str">
        <x:v>P01-A3</x:v>
      </x:c>
      <x:c r="E6" t="str">
        <x:v>FS</x:v>
      </x:c>
      <x:c r="F6" t="n">
        <x:v>0</x:v>
      </x:c>
      <x:c r="G6" t="str">
        <x:v>Within Project</x:v>
      </x:c>
      <x:c r="H6" t="str">
        <x:v>Reconstructed from approved narrative/logic</x:v>
      </x:c>
    </x:row>
    <x:row r="7" ht="21" customHeight="1">
      <x:c r="A7" t="str">
        <x:v>R0003</x:v>
      </x:c>
      <x:c r="B7" t="str">
        <x:v>P01</x:v>
      </x:c>
      <x:c r="C7" t="str">
        <x:v>P01-A3</x:v>
      </x:c>
      <x:c r="D7" t="str">
        <x:v>P01-A4</x:v>
      </x:c>
      <x:c r="E7" t="str">
        <x:v>FS</x:v>
      </x:c>
      <x:c r="F7" t="n">
        <x:v>10</x:v>
      </x:c>
      <x:c r="G7" t="str">
        <x:v>Within Project</x:v>
      </x:c>
      <x:c r="H7" t="str">
        <x:v>Reconstructed from approved narrative/logic</x:v>
      </x:c>
    </x:row>
    <x:row r="8" ht="21" customHeight="1">
      <x:c r="A8" t="str">
        <x:v>R0004</x:v>
      </x:c>
      <x:c r="B8" t="str">
        <x:v>P01</x:v>
      </x:c>
      <x:c r="C8" t="str">
        <x:v>P01-A3</x:v>
      </x:c>
      <x:c r="D8" t="str">
        <x:v>P01-A4u</x:v>
      </x:c>
      <x:c r="E8" t="str">
        <x:v>FS</x:v>
      </x:c>
      <x:c r="F8" t="n">
        <x:v>0</x:v>
      </x:c>
      <x:c r="G8" t="str">
        <x:v>Within Project</x:v>
      </x:c>
      <x:c r="H8" t="str">
        <x:v>Reconstructed from approved narrative/logic</x:v>
      </x:c>
    </x:row>
    <x:row r="9" ht="21" customHeight="1">
      <x:c r="A9" t="str">
        <x:v>R0005</x:v>
      </x:c>
      <x:c r="B9" t="str">
        <x:v>P01</x:v>
      </x:c>
      <x:c r="C9" t="str">
        <x:v>P01-A4</x:v>
      </x:c>
      <x:c r="D9" t="str">
        <x:v>P01-A4b</x:v>
      </x:c>
      <x:c r="E9" t="str">
        <x:v>FS</x:v>
      </x:c>
      <x:c r="F9" t="n">
        <x:v>0</x:v>
      </x:c>
      <x:c r="G9" t="str">
        <x:v>Within Project</x:v>
      </x:c>
      <x:c r="H9" t="str">
        <x:v>Reconstructed from approved narrative/logic</x:v>
      </x:c>
    </x:row>
    <x:row r="10" ht="21" customHeight="1">
      <x:c r="A10" t="str">
        <x:v>R0007</x:v>
      </x:c>
      <x:c r="B10" t="str">
        <x:v>P01</x:v>
      </x:c>
      <x:c r="C10" t="str">
        <x:v>P01-A4</x:v>
      </x:c>
      <x:c r="D10" t="str">
        <x:v>P01-A5</x:v>
      </x:c>
      <x:c r="E10" t="str">
        <x:v>SS</x:v>
      </x:c>
      <x:c r="F10" t="n">
        <x:v>15</x:v>
      </x:c>
      <x:c r="G10" t="str">
        <x:v>Within Project</x:v>
      </x:c>
      <x:c r="H10" t="str">
        <x:v>Reconstructed from approved narrative/logic</x:v>
      </x:c>
    </x:row>
    <x:row r="11" ht="21" customHeight="1">
      <x:c r="A11" t="str">
        <x:v>R0008</x:v>
      </x:c>
      <x:c r="B11" t="str">
        <x:v>P01</x:v>
      </x:c>
      <x:c r="C11" t="str">
        <x:v>P01-A5</x:v>
      </x:c>
      <x:c r="D11" t="str">
        <x:v>P01-A5b</x:v>
      </x:c>
      <x:c r="E11" t="str">
        <x:v>FS</x:v>
      </x:c>
      <x:c r="F11" t="n">
        <x:v>0</x:v>
      </x:c>
      <x:c r="G11" t="str">
        <x:v>Within Project</x:v>
      </x:c>
      <x:c r="H11" t="str">
        <x:v>Reconstructed from approved narrative/logic</x:v>
      </x:c>
    </x:row>
    <x:row r="12" ht="21" customHeight="1">
      <x:c r="A12" t="str">
        <x:v>R0013</x:v>
      </x:c>
      <x:c r="B12" t="str">
        <x:v>P01</x:v>
      </x:c>
      <x:c r="C12" t="str">
        <x:v>P01-A7a</x:v>
      </x:c>
      <x:c r="D12" t="str">
        <x:v>P01-A7b</x:v>
      </x:c>
      <x:c r="E12" t="str">
        <x:v>FS</x:v>
      </x:c>
      <x:c r="F12" t="n">
        <x:v>0</x:v>
      </x:c>
      <x:c r="G12" t="str">
        <x:v>Within Project</x:v>
      </x:c>
      <x:c r="H12" t="str">
        <x:v>Reconstructed from approved narrative/logic</x:v>
      </x:c>
    </x:row>
    <x:row r="13" ht="21" customHeight="1">
      <x:c r="A13" t="str">
        <x:v>R0014</x:v>
      </x:c>
      <x:c r="B13" t="str">
        <x:v>P01</x:v>
      </x:c>
      <x:c r="C13" t="str">
        <x:v>P01-A7b</x:v>
      </x:c>
      <x:c r="D13" t="str">
        <x:v>P01-A7c</x:v>
      </x:c>
      <x:c r="E13" t="str">
        <x:v>FS</x:v>
      </x:c>
      <x:c r="F13" t="n">
        <x:v>0</x:v>
      </x:c>
      <x:c r="G13" t="str">
        <x:v>Within Project</x:v>
      </x:c>
      <x:c r="H13" t="str">
        <x:v>Reconstructed from approved narrative/logic</x:v>
      </x:c>
    </x:row>
    <x:row r="14" ht="21" customHeight="1">
      <x:c r="A14" t="str">
        <x:v>R0015</x:v>
      </x:c>
      <x:c r="B14" t="str">
        <x:v>P01</x:v>
      </x:c>
      <x:c r="C14" t="str">
        <x:v>P01-A6</x:v>
      </x:c>
      <x:c r="D14" t="str">
        <x:v>P01-A8</x:v>
      </x:c>
      <x:c r="E14" t="str">
        <x:v>FS</x:v>
      </x:c>
      <x:c r="F14" t="n">
        <x:v>0</x:v>
      </x:c>
      <x:c r="G14" t="str">
        <x:v>Within Project</x:v>
      </x:c>
      <x:c r="H14" t="str">
        <x:v>Reconstructed from approved narrative/logic</x:v>
      </x:c>
    </x:row>
    <x:row r="15" ht="21" customHeight="1">
      <x:c r="A15" t="str">
        <x:v>R0016</x:v>
      </x:c>
      <x:c r="B15" t="str">
        <x:v>P01</x:v>
      </x:c>
      <x:c r="C15" t="str">
        <x:v>P01-A7c</x:v>
      </x:c>
      <x:c r="D15" t="str">
        <x:v>P01-A8</x:v>
      </x:c>
      <x:c r="E15" t="str">
        <x:v>FS</x:v>
      </x:c>
      <x:c r="F15" t="n">
        <x:v>0</x:v>
      </x:c>
      <x:c r="G15" t="str">
        <x:v>Within Project</x:v>
      </x:c>
      <x:c r="H15" t="str">
        <x:v>Reconstructed from approved narrative/logic</x:v>
      </x:c>
    </x:row>
    <x:row r="16" ht="21" customHeight="1">
      <x:c r="A16" t="str">
        <x:v>R0017</x:v>
      </x:c>
      <x:c r="B16" t="str">
        <x:v>P01</x:v>
      </x:c>
      <x:c r="C16" t="str">
        <x:v>P01-A4u</x:v>
      </x:c>
      <x:c r="D16" t="str">
        <x:v>P01-A8</x:v>
      </x:c>
      <x:c r="E16" t="str">
        <x:v>FS</x:v>
      </x:c>
      <x:c r="F16" t="n">
        <x:v>0</x:v>
      </x:c>
      <x:c r="G16" t="str">
        <x:v>Within Project</x:v>
      </x:c>
      <x:c r="H16" t="str">
        <x:v>Reconstructed from approved narrative/logic</x:v>
      </x:c>
    </x:row>
    <x:row r="17" ht="21" customHeight="1">
      <x:c r="A17" t="str">
        <x:v>R0018</x:v>
      </x:c>
      <x:c r="B17" t="str">
        <x:v>P01</x:v>
      </x:c>
      <x:c r="C17" t="str">
        <x:v>P01-A8</x:v>
      </x:c>
      <x:c r="D17" t="str">
        <x:v>P01-A9</x:v>
      </x:c>
      <x:c r="E17" t="str">
        <x:v>SS</x:v>
      </x:c>
      <x:c r="F17" t="n">
        <x:v>15</x:v>
      </x:c>
      <x:c r="G17" t="str">
        <x:v>Within Project</x:v>
      </x:c>
      <x:c r="H17" t="str">
        <x:v>Reconstructed from approved narrative/logic</x:v>
      </x:c>
    </x:row>
    <x:row r="18" ht="21" customHeight="1">
      <x:c r="A18" t="str">
        <x:v>R0019</x:v>
      </x:c>
      <x:c r="B18" t="str">
        <x:v>P01</x:v>
      </x:c>
      <x:c r="C18" t="str">
        <x:v>P01-A8</x:v>
      </x:c>
      <x:c r="D18" t="str">
        <x:v>P01-A9b</x:v>
      </x:c>
      <x:c r="E18" t="str">
        <x:v>SS</x:v>
      </x:c>
      <x:c r="F18" t="n">
        <x:v>20</x:v>
      </x:c>
      <x:c r="G18" t="str">
        <x:v>Within Project</x:v>
      </x:c>
      <x:c r="H18" t="str">
        <x:v>Reconstructed from approved narrative/logic</x:v>
      </x:c>
    </x:row>
    <x:row r="19" ht="21" customHeight="1">
      <x:c r="A19" t="str">
        <x:v>R0020</x:v>
      </x:c>
      <x:c r="B19" t="str">
        <x:v>P01</x:v>
      </x:c>
      <x:c r="C19" t="str">
        <x:v>P01-A8</x:v>
      </x:c>
      <x:c r="D19" t="str">
        <x:v>P01-A11</x:v>
      </x:c>
      <x:c r="E19" t="str">
        <x:v>FS</x:v>
      </x:c>
      <x:c r="F19" t="n">
        <x:v>5</x:v>
      </x:c>
      <x:c r="G19" t="str">
        <x:v>Within Project</x:v>
      </x:c>
      <x:c r="H19" t="str">
        <x:v>Reconstructed from approved narrative/logic</x:v>
      </x:c>
    </x:row>
    <x:row r="20" ht="21" customHeight="1">
      <x:c r="A20" t="str">
        <x:v>R0021</x:v>
      </x:c>
      <x:c r="B20" t="str">
        <x:v>P01</x:v>
      </x:c>
      <x:c r="C20" t="str">
        <x:v>P01-A9</x:v>
      </x:c>
      <x:c r="D20" t="str">
        <x:v>P01-A11</x:v>
      </x:c>
      <x:c r="E20" t="str">
        <x:v>FS</x:v>
      </x:c>
      <x:c r="F20" t="n">
        <x:v>0</x:v>
      </x:c>
      <x:c r="G20" t="str">
        <x:v>Within Project</x:v>
      </x:c>
      <x:c r="H20" t="str">
        <x:v>Reconstructed from approved narrative/logic</x:v>
      </x:c>
    </x:row>
    <x:row r="21" ht="21" customHeight="1">
      <x:c r="A21" t="str">
        <x:v>R0022</x:v>
      </x:c>
      <x:c r="B21" t="str">
        <x:v>P01</x:v>
      </x:c>
      <x:c r="C21" t="str">
        <x:v>P01-A9b</x:v>
      </x:c>
      <x:c r="D21" t="str">
        <x:v>P01-A11</x:v>
      </x:c>
      <x:c r="E21" t="str">
        <x:v>FS</x:v>
      </x:c>
      <x:c r="F21" t="n">
        <x:v>0</x:v>
      </x:c>
      <x:c r="G21" t="str">
        <x:v>Within Project</x:v>
      </x:c>
      <x:c r="H21" t="str">
        <x:v>Reconstructed from approved narrative/logic</x:v>
      </x:c>
    </x:row>
    <x:row r="22" ht="21" customHeight="1">
      <x:c r="A22" t="str">
        <x:v>R0023</x:v>
      </x:c>
      <x:c r="B22" t="str">
        <x:v>P01</x:v>
      </x:c>
      <x:c r="C22" t="str">
        <x:v>P01-A11</x:v>
      </x:c>
      <x:c r="D22" t="str">
        <x:v>P01-A12</x:v>
      </x:c>
      <x:c r="E22" t="str">
        <x:v>FS</x:v>
      </x:c>
      <x:c r="F22" t="n">
        <x:v>0</x:v>
      </x:c>
      <x:c r="G22" t="str">
        <x:v>Within Project</x:v>
      </x:c>
      <x:c r="H22" t="str">
        <x:v>Reconstructed from approved narrative/logic</x:v>
      </x:c>
    </x:row>
    <x:row r="23" ht="21" customHeight="1">
      <x:c r="A23" t="str">
        <x:v>R0024</x:v>
      </x:c>
      <x:c r="B23" t="str">
        <x:v>P01</x:v>
      </x:c>
      <x:c r="C23" t="str">
        <x:v>P01-A12</x:v>
      </x:c>
      <x:c r="D23" t="str">
        <x:v>P01-A10</x:v>
      </x:c>
      <x:c r="E23" t="str">
        <x:v>FS</x:v>
      </x:c>
      <x:c r="F23" t="n">
        <x:v>0</x:v>
      </x:c>
      <x:c r="G23" t="str">
        <x:v>Within Project</x:v>
      </x:c>
      <x:c r="H23" t="str">
        <x:v>Reconstructed from approved narrative/logic</x:v>
      </x:c>
    </x:row>
    <x:row r="24" ht="21" customHeight="1">
      <x:c r="A24" t="str">
        <x:v>R0025</x:v>
      </x:c>
      <x:c r="B24" t="str">
        <x:v>P01</x:v>
      </x:c>
      <x:c r="C24" t="str">
        <x:v>P01-A10</x:v>
      </x:c>
      <x:c r="D24" t="str">
        <x:v>P01-A15</x:v>
      </x:c>
      <x:c r="E24" t="str">
        <x:v>FS</x:v>
      </x:c>
      <x:c r="F24" t="n">
        <x:v>0</x:v>
      </x:c>
      <x:c r="G24" t="str">
        <x:v>Within Project</x:v>
      </x:c>
      <x:c r="H24" t="str">
        <x:v>Reconstructed from approved narrative/logic</x:v>
      </x:c>
    </x:row>
    <x:row r="25" ht="21" customHeight="1">
      <x:c r="A25" t="str">
        <x:v>R0026</x:v>
      </x:c>
      <x:c r="B25" t="str">
        <x:v>P01</x:v>
      </x:c>
      <x:c r="C25" t="str">
        <x:v>P01-M3</x:v>
      </x:c>
      <x:c r="D25" t="str">
        <x:v>P01-A13</x:v>
      </x:c>
      <x:c r="E25" t="str">
        <x:v>FS</x:v>
      </x:c>
      <x:c r="F25" t="n">
        <x:v>0</x:v>
      </x:c>
      <x:c r="G25" t="str">
        <x:v>Within Project</x:v>
      </x:c>
      <x:c r="H25" t="str">
        <x:v>PROPOSED: completion-gated turnover after accepted substantial completion; replaces early documentation overlap; synthetic recovery, pending approval</x:v>
      </x:c>
    </x:row>
    <x:row r="26" ht="21" customHeight="1">
      <x:c r="A26" t="str">
        <x:v>R0028</x:v>
      </x:c>
      <x:c r="B26" t="str">
        <x:v>P01</x:v>
      </x:c>
      <x:c r="C26" t="str">
        <x:v>P01-A13</x:v>
      </x:c>
      <x:c r="D26" t="str">
        <x:v>P01-A14</x:v>
      </x:c>
      <x:c r="E26" t="str">
        <x:v>FS</x:v>
      </x:c>
      <x:c r="F26" t="n">
        <x:v>0</x:v>
      </x:c>
      <x:c r="G26" t="str">
        <x:v>Within Project</x:v>
      </x:c>
      <x:c r="H26" t="str">
        <x:v>Reconstructed from approved narrative/logic</x:v>
      </x:c>
    </x:row>
    <x:row r="27" ht="21" customHeight="1">
      <x:c r="A27" t="str">
        <x:v>R0029</x:v>
      </x:c>
      <x:c r="B27" t="str">
        <x:v>P01</x:v>
      </x:c>
      <x:c r="C27" t="str">
        <x:v>P01-A15</x:v>
      </x:c>
      <x:c r="D27" t="str">
        <x:v>P01-A14</x:v>
      </x:c>
      <x:c r="E27" t="str">
        <x:v>FF</x:v>
      </x:c>
      <x:c r="F27" t="n">
        <x:v>0</x:v>
      </x:c>
      <x:c r="G27" t="str">
        <x:v>Within Project</x:v>
      </x:c>
      <x:c r="H27" t="str">
        <x:v>Reconstructed from approved narrative/logic</x:v>
      </x:c>
    </x:row>
    <x:row r="28" ht="21" customHeight="1">
      <x:c r="A28" t="str">
        <x:v>R0030</x:v>
      </x:c>
      <x:c r="B28" t="str">
        <x:v>P01</x:v>
      </x:c>
      <x:c r="C28" t="str">
        <x:v>P01-A14</x:v>
      </x:c>
      <x:c r="D28" t="str">
        <x:v>P01-M4</x:v>
      </x:c>
      <x:c r="E28" t="str">
        <x:v>FS</x:v>
      </x:c>
      <x:c r="F28" t="n">
        <x:v>0</x:v>
      </x:c>
      <x:c r="G28" t="str">
        <x:v>Within Project</x:v>
      </x:c>
      <x:c r="H28" t="str">
        <x:v>Reconstructed from approved narrative/logic</x:v>
      </x:c>
    </x:row>
    <x:row r="29" ht="21" customHeight="1">
      <x:c r="A29" t="str">
        <x:v>R0031</x:v>
      </x:c>
      <x:c r="B29" t="str">
        <x:v>P02</x:v>
      </x:c>
      <x:c r="C29" t="str">
        <x:v>P02-A1</x:v>
      </x:c>
      <x:c r="D29" t="str">
        <x:v>P02-A2</x:v>
      </x:c>
      <x:c r="E29" t="str">
        <x:v>FS</x:v>
      </x:c>
      <x:c r="F29" t="n">
        <x:v>0</x:v>
      </x:c>
      <x:c r="G29" t="str">
        <x:v>Within Project</x:v>
      </x:c>
      <x:c r="H29" t="str">
        <x:v>Reconstructed from approved narrative/logic</x:v>
      </x:c>
    </x:row>
    <x:row r="30" ht="21" customHeight="1">
      <x:c r="A30" t="str">
        <x:v>R0032</x:v>
      </x:c>
      <x:c r="B30" t="str">
        <x:v>P02</x:v>
      </x:c>
      <x:c r="C30" t="str">
        <x:v>P02-A2</x:v>
      </x:c>
      <x:c r="D30" t="str">
        <x:v>P02-A3</x:v>
      </x:c>
      <x:c r="E30" t="str">
        <x:v>FS</x:v>
      </x:c>
      <x:c r="F30" t="n">
        <x:v>0</x:v>
      </x:c>
      <x:c r="G30" t="str">
        <x:v>Within Project</x:v>
      </x:c>
      <x:c r="H30" t="str">
        <x:v>Reconstructed from approved narrative/logic</x:v>
      </x:c>
    </x:row>
    <x:row r="31" ht="21" customHeight="1">
      <x:c r="A31" t="str">
        <x:v>R0033</x:v>
      </x:c>
      <x:c r="B31" t="str">
        <x:v>P02</x:v>
      </x:c>
      <x:c r="C31" t="str">
        <x:v>P02-A3</x:v>
      </x:c>
      <x:c r="D31" t="str">
        <x:v>P02-A4</x:v>
      </x:c>
      <x:c r="E31" t="str">
        <x:v>FS</x:v>
      </x:c>
      <x:c r="F31" t="n">
        <x:v>0</x:v>
      </x:c>
      <x:c r="G31" t="str">
        <x:v>Within Project</x:v>
      </x:c>
      <x:c r="H31" t="str">
        <x:v>Reconstructed from approved narrative/logic</x:v>
      </x:c>
    </x:row>
    <x:row r="32" ht="21" customHeight="1">
      <x:c r="A32" t="str">
        <x:v>R0035</x:v>
      </x:c>
      <x:c r="B32" t="str">
        <x:v>P02</x:v>
      </x:c>
      <x:c r="C32" t="str">
        <x:v>P02-A4</x:v>
      </x:c>
      <x:c r="D32" t="str">
        <x:v>P02-A4b</x:v>
      </x:c>
      <x:c r="E32" t="str">
        <x:v>FS</x:v>
      </x:c>
      <x:c r="F32" t="n">
        <x:v>0</x:v>
      </x:c>
      <x:c r="G32" t="str">
        <x:v>Within Project</x:v>
      </x:c>
      <x:c r="H32" t="str">
        <x:v>Reconstructed from approved narrative/logic</x:v>
      </x:c>
    </x:row>
    <x:row r="33" ht="21" customHeight="1">
      <x:c r="A33" t="str">
        <x:v>R0036</x:v>
      </x:c>
      <x:c r="B33" t="str">
        <x:v>P02</x:v>
      </x:c>
      <x:c r="C33" t="str">
        <x:v>P02-A4</x:v>
      </x:c>
      <x:c r="D33" t="str">
        <x:v>P02-A5</x:v>
      </x:c>
      <x:c r="E33" t="str">
        <x:v>SS</x:v>
      </x:c>
      <x:c r="F33" t="n">
        <x:v>15</x:v>
      </x:c>
      <x:c r="G33" t="str">
        <x:v>Within Project</x:v>
      </x:c>
      <x:c r="H33" t="str">
        <x:v>Reconstructed from approved narrative/logic</x:v>
      </x:c>
    </x:row>
    <x:row r="34" ht="21" customHeight="1">
      <x:c r="A34" t="str">
        <x:v>R0037</x:v>
      </x:c>
      <x:c r="B34" t="str">
        <x:v>P02</x:v>
      </x:c>
      <x:c r="C34" t="str">
        <x:v>P02-A5</x:v>
      </x:c>
      <x:c r="D34" t="str">
        <x:v>P02-A5b</x:v>
      </x:c>
      <x:c r="E34" t="str">
        <x:v>FS</x:v>
      </x:c>
      <x:c r="F34" t="n">
        <x:v>0</x:v>
      </x:c>
      <x:c r="G34" t="str">
        <x:v>Within Project</x:v>
      </x:c>
      <x:c r="H34" t="str">
        <x:v>Reconstructed from approved narrative/logic</x:v>
      </x:c>
    </x:row>
    <x:row r="35" ht="21" customHeight="1">
      <x:c r="A35" t="str">
        <x:v>R0045</x:v>
      </x:c>
      <x:c r="B35" t="str">
        <x:v>P02</x:v>
      </x:c>
      <x:c r="C35" t="str">
        <x:v>P02-A7a</x:v>
      </x:c>
      <x:c r="D35" t="str">
        <x:v>P02-A7b</x:v>
      </x:c>
      <x:c r="E35" t="str">
        <x:v>FS</x:v>
      </x:c>
      <x:c r="F35" t="n">
        <x:v>0</x:v>
      </x:c>
      <x:c r="G35" t="str">
        <x:v>Within Project</x:v>
      </x:c>
      <x:c r="H35" t="str">
        <x:v>Reconstructed from approved narrative/logic</x:v>
      </x:c>
    </x:row>
    <x:row r="36" ht="21" customHeight="1">
      <x:c r="A36" t="str">
        <x:v>R0046</x:v>
      </x:c>
      <x:c r="B36" t="str">
        <x:v>P02</x:v>
      </x:c>
      <x:c r="C36" t="str">
        <x:v>P02-A7b</x:v>
      </x:c>
      <x:c r="D36" t="str">
        <x:v>P02-A7c</x:v>
      </x:c>
      <x:c r="E36" t="str">
        <x:v>FS</x:v>
      </x:c>
      <x:c r="F36" t="n">
        <x:v>0</x:v>
      </x:c>
      <x:c r="G36" t="str">
        <x:v>Within Project</x:v>
      </x:c>
      <x:c r="H36" t="str">
        <x:v>Reconstructed from approved narrative/logic</x:v>
      </x:c>
    </x:row>
    <x:row r="37" ht="21" customHeight="1">
      <x:c r="A37" t="str">
        <x:v>R0047</x:v>
      </x:c>
      <x:c r="B37" t="str">
        <x:v>P02</x:v>
      </x:c>
      <x:c r="C37" t="str">
        <x:v>P02-A7c</x:v>
      </x:c>
      <x:c r="D37" t="str">
        <x:v>P02-A7d</x:v>
      </x:c>
      <x:c r="E37" t="str">
        <x:v>FS</x:v>
      </x:c>
      <x:c r="F37" t="n">
        <x:v>0</x:v>
      </x:c>
      <x:c r="G37" t="str">
        <x:v>Within Project</x:v>
      </x:c>
      <x:c r="H37" t="str">
        <x:v>Reconstructed from approved narrative/logic</x:v>
      </x:c>
    </x:row>
    <x:row r="38" ht="21" customHeight="1">
      <x:c r="A38" t="str">
        <x:v>R0048</x:v>
      </x:c>
      <x:c r="B38" t="str">
        <x:v>P02</x:v>
      </x:c>
      <x:c r="C38" t="str">
        <x:v>P02-A11a</x:v>
      </x:c>
      <x:c r="D38" t="str">
        <x:v>P02-A11b</x:v>
      </x:c>
      <x:c r="E38" t="str">
        <x:v>FS</x:v>
      </x:c>
      <x:c r="F38" t="n">
        <x:v>0</x:v>
      </x:c>
      <x:c r="G38" t="str">
        <x:v>Within Project</x:v>
      </x:c>
      <x:c r="H38" t="str">
        <x:v>Reconstructed from approved narrative/logic</x:v>
      </x:c>
    </x:row>
    <x:row r="39" ht="21" customHeight="1">
      <x:c r="A39" t="str">
        <x:v>R0049</x:v>
      </x:c>
      <x:c r="B39" t="str">
        <x:v>P02</x:v>
      </x:c>
      <x:c r="C39" t="str">
        <x:v>P02-A11b</x:v>
      </x:c>
      <x:c r="D39" t="str">
        <x:v>P02-A11c</x:v>
      </x:c>
      <x:c r="E39" t="str">
        <x:v>FS</x:v>
      </x:c>
      <x:c r="F39" t="n">
        <x:v>0</x:v>
      </x:c>
      <x:c r="G39" t="str">
        <x:v>Within Project</x:v>
      </x:c>
      <x:c r="H39" t="str">
        <x:v>Reconstructed from approved narrative/logic</x:v>
      </x:c>
    </x:row>
    <x:row r="40" ht="21" customHeight="1">
      <x:c r="A40" t="str">
        <x:v>R0050</x:v>
      </x:c>
      <x:c r="B40" t="str">
        <x:v>P02</x:v>
      </x:c>
      <x:c r="C40" t="str">
        <x:v>P02-A11c</x:v>
      </x:c>
      <x:c r="D40" t="str">
        <x:v>P02-A11d</x:v>
      </x:c>
      <x:c r="E40" t="str">
        <x:v>FS</x:v>
      </x:c>
      <x:c r="F40" t="n">
        <x:v>0</x:v>
      </x:c>
      <x:c r="G40" t="str">
        <x:v>Within Project</x:v>
      </x:c>
      <x:c r="H40" t="str">
        <x:v>Reconstructed from approved narrative/logic</x:v>
      </x:c>
    </x:row>
    <x:row r="41" ht="21" customHeight="1">
      <x:c r="A41" t="str">
        <x:v>R0051</x:v>
      </x:c>
      <x:c r="B41" t="str">
        <x:v>P02</x:v>
      </x:c>
      <x:c r="C41" t="str">
        <x:v>P02-A6</x:v>
      </x:c>
      <x:c r="D41" t="str">
        <x:v>P02-A8</x:v>
      </x:c>
      <x:c r="E41" t="str">
        <x:v>FS</x:v>
      </x:c>
      <x:c r="F41" t="n">
        <x:v>0</x:v>
      </x:c>
      <x:c r="G41" t="str">
        <x:v>Within Project</x:v>
      </x:c>
      <x:c r="H41" t="str">
        <x:v>Reconstructed from approved narrative/logic</x:v>
      </x:c>
    </x:row>
    <x:row r="42" ht="21" customHeight="1">
      <x:c r="A42" t="str">
        <x:v>R0052</x:v>
      </x:c>
      <x:c r="B42" t="str">
        <x:v>P02</x:v>
      </x:c>
      <x:c r="C42" t="str">
        <x:v>P02-A6b</x:v>
      </x:c>
      <x:c r="D42" t="str">
        <x:v>P02-A8</x:v>
      </x:c>
      <x:c r="E42" t="str">
        <x:v>FS</x:v>
      </x:c>
      <x:c r="F42" t="n">
        <x:v>0</x:v>
      </x:c>
      <x:c r="G42" t="str">
        <x:v>Within Project</x:v>
      </x:c>
      <x:c r="H42" t="str">
        <x:v>Reconstructed from approved narrative/logic</x:v>
      </x:c>
    </x:row>
    <x:row r="43" ht="21" customHeight="1">
      <x:c r="A43" t="str">
        <x:v>R0053</x:v>
      </x:c>
      <x:c r="B43" t="str">
        <x:v>P02</x:v>
      </x:c>
      <x:c r="C43" t="str">
        <x:v>P02-A8</x:v>
      </x:c>
      <x:c r="D43" t="str">
        <x:v>P02-A9</x:v>
      </x:c>
      <x:c r="E43" t="str">
        <x:v>FS</x:v>
      </x:c>
      <x:c r="F43" t="n">
        <x:v>0</x:v>
      </x:c>
      <x:c r="G43" t="str">
        <x:v>Within Project</x:v>
      </x:c>
      <x:c r="H43" t="str">
        <x:v>Reconstructed from approved narrative/logic</x:v>
      </x:c>
    </x:row>
    <x:row r="44" ht="21" customHeight="1">
      <x:c r="A44" t="str">
        <x:v>R0054</x:v>
      </x:c>
      <x:c r="B44" t="str">
        <x:v>P02</x:v>
      </x:c>
      <x:c r="C44" t="str">
        <x:v>P02-A9</x:v>
      </x:c>
      <x:c r="D44" t="str">
        <x:v>P02-A10</x:v>
      </x:c>
      <x:c r="E44" t="str">
        <x:v>FS</x:v>
      </x:c>
      <x:c r="F44" t="n">
        <x:v>0</x:v>
      </x:c>
      <x:c r="G44" t="str">
        <x:v>Within Project</x:v>
      </x:c>
      <x:c r="H44" t="str">
        <x:v>Reconstructed from approved narrative/logic</x:v>
      </x:c>
    </x:row>
    <x:row r="45" ht="21" customHeight="1">
      <x:c r="A45" t="str">
        <x:v>R0055</x:v>
      </x:c>
      <x:c r="B45" t="str">
        <x:v>P02</x:v>
      </x:c>
      <x:c r="C45" t="str">
        <x:v>P02-A7d</x:v>
      </x:c>
      <x:c r="D45" t="str">
        <x:v>P02-A10</x:v>
      </x:c>
      <x:c r="E45" t="str">
        <x:v>FS</x:v>
      </x:c>
      <x:c r="F45" t="n">
        <x:v>0</x:v>
      </x:c>
      <x:c r="G45" t="str">
        <x:v>Within Project</x:v>
      </x:c>
      <x:c r="H45" t="str">
        <x:v>Reconstructed from approved narrative/logic</x:v>
      </x:c>
    </x:row>
    <x:row r="46" ht="21" customHeight="1">
      <x:c r="A46" t="str">
        <x:v>R0056</x:v>
      </x:c>
      <x:c r="B46" t="str">
        <x:v>P02</x:v>
      </x:c>
      <x:c r="C46" t="str">
        <x:v>P02-A9</x:v>
      </x:c>
      <x:c r="D46" t="str">
        <x:v>P02-A12</x:v>
      </x:c>
      <x:c r="E46" t="str">
        <x:v>FS</x:v>
      </x:c>
      <x:c r="F46" t="n">
        <x:v>0</x:v>
      </x:c>
      <x:c r="G46" t="str">
        <x:v>Within Project</x:v>
      </x:c>
      <x:c r="H46" t="str">
        <x:v>Reconstructed from approved narrative/logic</x:v>
      </x:c>
    </x:row>
    <x:row r="47" ht="21" customHeight="1">
      <x:c r="A47" t="str">
        <x:v>R0057</x:v>
      </x:c>
      <x:c r="B47" t="str">
        <x:v>P02</x:v>
      </x:c>
      <x:c r="C47" t="str">
        <x:v>P02-A11d</x:v>
      </x:c>
      <x:c r="D47" t="str">
        <x:v>P02-A12</x:v>
      </x:c>
      <x:c r="E47" t="str">
        <x:v>FS</x:v>
      </x:c>
      <x:c r="F47" t="n">
        <x:v>0</x:v>
      </x:c>
      <x:c r="G47" t="str">
        <x:v>Within Project</x:v>
      </x:c>
      <x:c r="H47" t="str">
        <x:v>Reconstructed from approved narrative/logic</x:v>
      </x:c>
    </x:row>
    <x:row r="48" ht="21" customHeight="1">
      <x:c r="A48" t="str">
        <x:v>R0058</x:v>
      </x:c>
      <x:c r="B48" t="str">
        <x:v>P02</x:v>
      </x:c>
      <x:c r="C48" t="str">
        <x:v>P02-A6c</x:v>
      </x:c>
      <x:c r="D48" t="str">
        <x:v>P02-A12</x:v>
      </x:c>
      <x:c r="E48" t="str">
        <x:v>FS</x:v>
      </x:c>
      <x:c r="F48" t="n">
        <x:v>0</x:v>
      </x:c>
      <x:c r="G48" t="str">
        <x:v>Within Project</x:v>
      </x:c>
      <x:c r="H48" t="str">
        <x:v>Reconstructed from approved narrative/logic</x:v>
      </x:c>
    </x:row>
    <x:row r="49" ht="21" customHeight="1">
      <x:c r="A49" t="str">
        <x:v>R0059</x:v>
      </x:c>
      <x:c r="B49" t="str">
        <x:v>P02</x:v>
      </x:c>
      <x:c r="C49" t="str">
        <x:v>P02-A9</x:v>
      </x:c>
      <x:c r="D49" t="str">
        <x:v>P02-A13</x:v>
      </x:c>
      <x:c r="E49" t="str">
        <x:v>FS</x:v>
      </x:c>
      <x:c r="F49" t="n">
        <x:v>0</x:v>
      </x:c>
      <x:c r="G49" t="str">
        <x:v>Within Project</x:v>
      </x:c>
      <x:c r="H49" t="str">
        <x:v>Reconstructed from approved narrative/logic</x:v>
      </x:c>
    </x:row>
    <x:row r="50" ht="21" customHeight="1">
      <x:c r="A50" t="str">
        <x:v>R0060</x:v>
      </x:c>
      <x:c r="B50" t="str">
        <x:v>P02</x:v>
      </x:c>
      <x:c r="C50" t="str">
        <x:v>P02-A10</x:v>
      </x:c>
      <x:c r="D50" t="str">
        <x:v>P02-A14</x:v>
      </x:c>
      <x:c r="E50" t="str">
        <x:v>FS</x:v>
      </x:c>
      <x:c r="F50" t="n">
        <x:v>0</x:v>
      </x:c>
      <x:c r="G50" t="str">
        <x:v>Within Project</x:v>
      </x:c>
      <x:c r="H50" t="str">
        <x:v>Reconstructed from approved narrative/logic</x:v>
      </x:c>
    </x:row>
    <x:row r="51" ht="21" customHeight="1">
      <x:c r="A51" t="str">
        <x:v>R0061</x:v>
      </x:c>
      <x:c r="B51" t="str">
        <x:v>P02</x:v>
      </x:c>
      <x:c r="C51" t="str">
        <x:v>P02-A12</x:v>
      </x:c>
      <x:c r="D51" t="str">
        <x:v>P02-A14</x:v>
      </x:c>
      <x:c r="E51" t="str">
        <x:v>FS</x:v>
      </x:c>
      <x:c r="F51" t="n">
        <x:v>0</x:v>
      </x:c>
      <x:c r="G51" t="str">
        <x:v>Within Project</x:v>
      </x:c>
      <x:c r="H51" t="str">
        <x:v>Reconstructed from approved narrative/logic</x:v>
      </x:c>
    </x:row>
    <x:row r="52" ht="21" customHeight="1">
      <x:c r="A52" t="str">
        <x:v>R0062</x:v>
      </x:c>
      <x:c r="B52" t="str">
        <x:v>P02</x:v>
      </x:c>
      <x:c r="C52" t="str">
        <x:v>P02-A13</x:v>
      </x:c>
      <x:c r="D52" t="str">
        <x:v>P02-A14</x:v>
      </x:c>
      <x:c r="E52" t="str">
        <x:v>FS</x:v>
      </x:c>
      <x:c r="F52" t="n">
        <x:v>0</x:v>
      </x:c>
      <x:c r="G52" t="str">
        <x:v>Within Project</x:v>
      </x:c>
      <x:c r="H52" t="str">
        <x:v>Reconstructed from approved narrative/logic</x:v>
      </x:c>
    </x:row>
    <x:row r="53" ht="21" customHeight="1">
      <x:c r="A53" t="str">
        <x:v>R0063</x:v>
      </x:c>
      <x:c r="B53" t="str">
        <x:v>P02</x:v>
      </x:c>
      <x:c r="C53" t="str">
        <x:v>P02-A14</x:v>
      </x:c>
      <x:c r="D53" t="str">
        <x:v>P02-A15</x:v>
      </x:c>
      <x:c r="E53" t="str">
        <x:v>FS</x:v>
      </x:c>
      <x:c r="F53" t="n">
        <x:v>0</x:v>
      </x:c>
      <x:c r="G53" t="str">
        <x:v>Within Project</x:v>
      </x:c>
      <x:c r="H53" t="str">
        <x:v>Reconstructed from approved narrative/logic</x:v>
      </x:c>
    </x:row>
    <x:row r="54" ht="21" customHeight="1">
      <x:c r="A54" t="str">
        <x:v>R0064</x:v>
      </x:c>
      <x:c r="B54" t="str">
        <x:v>P02</x:v>
      </x:c>
      <x:c r="C54" t="str">
        <x:v>P02-A15</x:v>
      </x:c>
      <x:c r="D54" t="str">
        <x:v>P02-A15b</x:v>
      </x:c>
      <x:c r="E54" t="str">
        <x:v>FS</x:v>
      </x:c>
      <x:c r="F54" t="n">
        <x:v>0</x:v>
      </x:c>
      <x:c r="G54" t="str">
        <x:v>Within Project</x:v>
      </x:c>
      <x:c r="H54" t="str">
        <x:v>Reconstructed from approved narrative/logic</x:v>
      </x:c>
    </x:row>
    <x:row r="55" ht="21" customHeight="1">
      <x:c r="A55" t="str">
        <x:v>R0066</x:v>
      </x:c>
      <x:c r="B55" t="str">
        <x:v>P02</x:v>
      </x:c>
      <x:c r="C55" t="str">
        <x:v>P02-A15</x:v>
      </x:c>
      <x:c r="D55" t="str">
        <x:v>P02-A16</x:v>
      </x:c>
      <x:c r="E55" t="str">
        <x:v>SS</x:v>
      </x:c>
      <x:c r="F55" t="n">
        <x:v>5</x:v>
      </x:c>
      <x:c r="G55" t="str">
        <x:v>Within Project</x:v>
      </x:c>
      <x:c r="H55" t="str">
        <x:v>Reconstructed from approved narrative/logic</x:v>
      </x:c>
    </x:row>
    <x:row r="56" ht="21" customHeight="1">
      <x:c r="A56" t="str">
        <x:v>R0067</x:v>
      </x:c>
      <x:c r="B56" t="str">
        <x:v>P02</x:v>
      </x:c>
      <x:c r="C56" t="str">
        <x:v>P02-A16</x:v>
      </x:c>
      <x:c r="D56" t="str">
        <x:v>P02-A17</x:v>
      </x:c>
      <x:c r="E56" t="str">
        <x:v>FS</x:v>
      </x:c>
      <x:c r="F56" t="n">
        <x:v>0</x:v>
      </x:c>
      <x:c r="G56" t="str">
        <x:v>Within Project</x:v>
      </x:c>
      <x:c r="H56" t="str">
        <x:v>Reconstructed from approved narrative/logic</x:v>
      </x:c>
    </x:row>
    <x:row r="57" ht="21" customHeight="1">
      <x:c r="A57" t="str">
        <x:v>R0068</x:v>
      </x:c>
      <x:c r="B57" t="str">
        <x:v>P02</x:v>
      </x:c>
      <x:c r="C57" t="str">
        <x:v>P02-A15b</x:v>
      </x:c>
      <x:c r="D57" t="str">
        <x:v>P02-A17</x:v>
      </x:c>
      <x:c r="E57" t="str">
        <x:v>FF</x:v>
      </x:c>
      <x:c r="F57" t="n">
        <x:v>0</x:v>
      </x:c>
      <x:c r="G57" t="str">
        <x:v>Within Project</x:v>
      </x:c>
      <x:c r="H57" t="str">
        <x:v>Reconstructed from approved narrative/logic</x:v>
      </x:c>
    </x:row>
    <x:row r="58" ht="21" customHeight="1">
      <x:c r="A58" t="str">
        <x:v>R0069</x:v>
      </x:c>
      <x:c r="B58" t="str">
        <x:v>P02</x:v>
      </x:c>
      <x:c r="C58" t="str">
        <x:v>P02-A17</x:v>
      </x:c>
      <x:c r="D58" t="str">
        <x:v>P02-M5</x:v>
      </x:c>
      <x:c r="E58" t="str">
        <x:v>FS</x:v>
      </x:c>
      <x:c r="F58" t="n">
        <x:v>0</x:v>
      </x:c>
      <x:c r="G58" t="str">
        <x:v>Within Project</x:v>
      </x:c>
      <x:c r="H58" t="str">
        <x:v>Reconstructed from approved narrative/logic</x:v>
      </x:c>
    </x:row>
    <x:row r="59" ht="21" customHeight="1">
      <x:c r="A59" t="str">
        <x:v>R0070</x:v>
      </x:c>
      <x:c r="B59" t="str">
        <x:v>P03</x:v>
      </x:c>
      <x:c r="C59" t="str">
        <x:v>P03-A1</x:v>
      </x:c>
      <x:c r="D59" t="str">
        <x:v>P03-A2</x:v>
      </x:c>
      <x:c r="E59" t="str">
        <x:v>FS</x:v>
      </x:c>
      <x:c r="F59" t="n">
        <x:v>0</x:v>
      </x:c>
      <x:c r="G59" t="str">
        <x:v>Within Project</x:v>
      </x:c>
      <x:c r="H59" t="str">
        <x:v>Reconstructed from approved narrative/logic</x:v>
      </x:c>
    </x:row>
    <x:row r="60" ht="21" customHeight="1">
      <x:c r="A60" t="str">
        <x:v>R0071</x:v>
      </x:c>
      <x:c r="B60" t="str">
        <x:v>P03</x:v>
      </x:c>
      <x:c r="C60" t="str">
        <x:v>P03-A2</x:v>
      </x:c>
      <x:c r="D60" t="str">
        <x:v>P03-A2b</x:v>
      </x:c>
      <x:c r="E60" t="str">
        <x:v>FS</x:v>
      </x:c>
      <x:c r="F60" t="n">
        <x:v>0</x:v>
      </x:c>
      <x:c r="G60" t="str">
        <x:v>Within Project</x:v>
      </x:c>
      <x:c r="H60" t="str">
        <x:v>Reconstructed from approved narrative/logic</x:v>
      </x:c>
    </x:row>
    <x:row r="61" ht="21" customHeight="1">
      <x:c r="A61" t="str">
        <x:v>R0072</x:v>
      </x:c>
      <x:c r="B61" t="str">
        <x:v>P03</x:v>
      </x:c>
      <x:c r="C61" t="str">
        <x:v>P03-A2b</x:v>
      </x:c>
      <x:c r="D61" t="str">
        <x:v>P03-A3</x:v>
      </x:c>
      <x:c r="E61" t="str">
        <x:v>FS</x:v>
      </x:c>
      <x:c r="F61" t="n">
        <x:v>0</x:v>
      </x:c>
      <x:c r="G61" t="str">
        <x:v>Within Project</x:v>
      </x:c>
      <x:c r="H61" t="str">
        <x:v>Reconstructed from approved narrative/logic</x:v>
      </x:c>
    </x:row>
    <x:row r="62" ht="21" customHeight="1">
      <x:c r="A62" t="str">
        <x:v>R0073</x:v>
      </x:c>
      <x:c r="B62" t="str">
        <x:v>P03</x:v>
      </x:c>
      <x:c r="C62" t="str">
        <x:v>P03-A3</x:v>
      </x:c>
      <x:c r="D62" t="str">
        <x:v>P03-A4</x:v>
      </x:c>
      <x:c r="E62" t="str">
        <x:v>FS</x:v>
      </x:c>
      <x:c r="F62" t="n">
        <x:v>0</x:v>
      </x:c>
      <x:c r="G62" t="str">
        <x:v>Within Project</x:v>
      </x:c>
      <x:c r="H62" t="str">
        <x:v>Reconstructed from approved narrative/logic</x:v>
      </x:c>
    </x:row>
    <x:row r="63" ht="21" customHeight="1">
      <x:c r="A63" t="str">
        <x:v>R0074</x:v>
      </x:c>
      <x:c r="B63" t="str">
        <x:v>P03</x:v>
      </x:c>
      <x:c r="C63" t="str">
        <x:v>P03-A4</x:v>
      </x:c>
      <x:c r="D63" t="str">
        <x:v>P03-A5</x:v>
      </x:c>
      <x:c r="E63" t="str">
        <x:v>FS</x:v>
      </x:c>
      <x:c r="F63" t="n">
        <x:v>0</x:v>
      </x:c>
      <x:c r="G63" t="str">
        <x:v>Within Project</x:v>
      </x:c>
      <x:c r="H63" t="str">
        <x:v>Reconstructed from approved narrative/logic</x:v>
      </x:c>
    </x:row>
    <x:row r="64" ht="21" customHeight="1">
      <x:c r="A64" t="str">
        <x:v>R0075</x:v>
      </x:c>
      <x:c r="B64" t="str">
        <x:v>P03</x:v>
      </x:c>
      <x:c r="C64" t="str">
        <x:v>P03-A5</x:v>
      </x:c>
      <x:c r="D64" t="str">
        <x:v>P03-A6</x:v>
      </x:c>
      <x:c r="E64" t="str">
        <x:v>FS</x:v>
      </x:c>
      <x:c r="F64" t="n">
        <x:v>0</x:v>
      </x:c>
      <x:c r="G64" t="str">
        <x:v>Within Project</x:v>
      </x:c>
      <x:c r="H64" t="str">
        <x:v>Reconstructed from approved narrative/logic</x:v>
      </x:c>
    </x:row>
    <x:row r="65" ht="21" customHeight="1">
      <x:c r="A65" t="str">
        <x:v>R0076</x:v>
      </x:c>
      <x:c r="B65" t="str">
        <x:v>P03</x:v>
      </x:c>
      <x:c r="C65" t="str">
        <x:v>P03-A6</x:v>
      </x:c>
      <x:c r="D65" t="str">
        <x:v>P03-A7</x:v>
      </x:c>
      <x:c r="E65" t="str">
        <x:v>SS</x:v>
      </x:c>
      <x:c r="F65" t="n">
        <x:v>5</x:v>
      </x:c>
      <x:c r="G65" t="str">
        <x:v>Within Project</x:v>
      </x:c>
      <x:c r="H65" t="str">
        <x:v>PROPOSED synthetic recovery: Final design overlaps 90%-design review; reconciles 20bd design to published M1 if upstream dates hold.</x:v>
      </x:c>
    </x:row>
    <x:row r="66" ht="21" customHeight="1">
      <x:c r="A66" t="str">
        <x:v>R0077</x:v>
      </x:c>
      <x:c r="B66" t="str">
        <x:v>P03</x:v>
      </x:c>
      <x:c r="C66" t="str">
        <x:v>P03-A7</x:v>
      </x:c>
      <x:c r="D66" t="str">
        <x:v>P03-M1</x:v>
      </x:c>
      <x:c r="E66" t="str">
        <x:v>FS</x:v>
      </x:c>
      <x:c r="F66" t="n">
        <x:v>0</x:v>
      </x:c>
      <x:c r="G66" t="str">
        <x:v>Within Project</x:v>
      </x:c>
      <x:c r="H66" t="str">
        <x:v>BLOCKED: documented relationship incompatible with existing reconstructed date(s); see QA report</x:v>
      </x:c>
    </x:row>
    <x:row r="67" ht="21" customHeight="1">
      <x:c r="A67" t="str">
        <x:v>R0078</x:v>
      </x:c>
      <x:c r="B67" t="str">
        <x:v>P03</x:v>
      </x:c>
      <x:c r="C67" t="str">
        <x:v>P03-A7</x:v>
      </x:c>
      <x:c r="D67" t="str">
        <x:v>P03-A7b</x:v>
      </x:c>
      <x:c r="E67" t="str">
        <x:v>FS</x:v>
      </x:c>
      <x:c r="F67" t="n">
        <x:v>0</x:v>
      </x:c>
      <x:c r="G67" t="str">
        <x:v>Within Project</x:v>
      </x:c>
      <x:c r="H67" t="str">
        <x:v>Reconstructed from approved narrative/logic</x:v>
      </x:c>
    </x:row>
    <x:row r="68" ht="21" customHeight="1">
      <x:c r="A68" t="str">
        <x:v>R0079</x:v>
      </x:c>
      <x:c r="B68" t="str">
        <x:v>P03</x:v>
      </x:c>
      <x:c r="C68" t="str">
        <x:v>P03-A7</x:v>
      </x:c>
      <x:c r="D68" t="str">
        <x:v>P03-A8</x:v>
      </x:c>
      <x:c r="E68" t="str">
        <x:v>SS</x:v>
      </x:c>
      <x:c r="F68" t="n">
        <x:v>10</x:v>
      </x:c>
      <x:c r="G68" t="str">
        <x:v>Within Project</x:v>
      </x:c>
      <x:c r="H68" t="str">
        <x:v>Reconstructed from approved narrative/logic</x:v>
      </x:c>
    </x:row>
    <x:row r="69" ht="21" customHeight="1">
      <x:c r="A69" t="str">
        <x:v>R0080</x:v>
      </x:c>
      <x:c r="B69" t="str">
        <x:v>P03</x:v>
      </x:c>
      <x:c r="C69" t="str">
        <x:v>P03-A8</x:v>
      </x:c>
      <x:c r="D69" t="str">
        <x:v>P03-A9</x:v>
      </x:c>
      <x:c r="E69" t="str">
        <x:v>FS</x:v>
      </x:c>
      <x:c r="F69" t="n">
        <x:v>0</x:v>
      </x:c>
      <x:c r="G69" t="str">
        <x:v>Within Project</x:v>
      </x:c>
      <x:c r="H69" t="str">
        <x:v>Reconstructed from approved narrative/logic</x:v>
      </x:c>
    </x:row>
    <x:row r="70" ht="21" customHeight="1">
      <x:c r="A70" t="str">
        <x:v>R0081</x:v>
      </x:c>
      <x:c r="B70" t="str">
        <x:v>P03</x:v>
      </x:c>
      <x:c r="C70" t="str">
        <x:v>P03-A9</x:v>
      </x:c>
      <x:c r="D70" t="str">
        <x:v>P03-A9b</x:v>
      </x:c>
      <x:c r="E70" t="str">
        <x:v>FS</x:v>
      </x:c>
      <x:c r="F70" t="n">
        <x:v>0</x:v>
      </x:c>
      <x:c r="G70" t="str">
        <x:v>Within Project</x:v>
      </x:c>
      <x:c r="H70" t="str">
        <x:v>Reconstructed from approved narrative/logic</x:v>
      </x:c>
    </x:row>
    <x:row r="71" ht="21" customHeight="1">
      <x:c r="A71" t="str">
        <x:v>R0082</x:v>
      </x:c>
      <x:c r="B71" t="str">
        <x:v>P03</x:v>
      </x:c>
      <x:c r="C71" t="str">
        <x:v>P03-A9b</x:v>
      </x:c>
      <x:c r="D71" t="str">
        <x:v>P03-M2</x:v>
      </x:c>
      <x:c r="E71" t="str">
        <x:v>FS</x:v>
      </x:c>
      <x:c r="F71" t="n">
        <x:v>0</x:v>
      </x:c>
      <x:c r="G71" t="str">
        <x:v>Within Project</x:v>
      </x:c>
      <x:c r="H71" t="str">
        <x:v>Reconstructed from approved narrative/logic</x:v>
      </x:c>
    </x:row>
    <x:row r="72" ht="21" customHeight="1">
      <x:c r="A72" t="str">
        <x:v>R0083</x:v>
      </x:c>
      <x:c r="B72" t="str">
        <x:v>P03</x:v>
      </x:c>
      <x:c r="C72" t="str">
        <x:v>P03-A7b</x:v>
      </x:c>
      <x:c r="D72" t="str">
        <x:v>P03-M2</x:v>
      </x:c>
      <x:c r="E72" t="str">
        <x:v>FS</x:v>
      </x:c>
      <x:c r="F72" t="n">
        <x:v>0</x:v>
      </x:c>
      <x:c r="G72" t="str">
        <x:v>Within Project</x:v>
      </x:c>
      <x:c r="H72" t="str">
        <x:v>Reconstructed from approved narrative/logic</x:v>
      </x:c>
    </x:row>
    <x:row r="73" ht="21" customHeight="1">
      <x:c r="A73" t="str">
        <x:v>R0084</x:v>
      </x:c>
      <x:c r="B73" t="str">
        <x:v>P03</x:v>
      </x:c>
      <x:c r="C73" t="str">
        <x:v>P03-M2</x:v>
      </x:c>
      <x:c r="D73" t="str">
        <x:v>P03-A10</x:v>
      </x:c>
      <x:c r="E73" t="str">
        <x:v>FS</x:v>
      </x:c>
      <x:c r="F73" t="n">
        <x:v>0</x:v>
      </x:c>
      <x:c r="G73" t="str">
        <x:v>Within Project</x:v>
      </x:c>
      <x:c r="H73" t="str">
        <x:v>Reconstructed from approved narrative/logic</x:v>
      </x:c>
    </x:row>
    <x:row r="74" ht="21" customHeight="1">
      <x:c r="A74" t="str">
        <x:v>R0085</x:v>
      </x:c>
      <x:c r="B74" t="str">
        <x:v>P03</x:v>
      </x:c>
      <x:c r="C74" t="str">
        <x:v>P03-M2</x:v>
      </x:c>
      <x:c r="D74" t="str">
        <x:v>P03-A11</x:v>
      </x:c>
      <x:c r="E74" t="str">
        <x:v>FS</x:v>
      </x:c>
      <x:c r="F74" t="n">
        <x:v>0</x:v>
      </x:c>
      <x:c r="G74" t="str">
        <x:v>Within Project</x:v>
      </x:c>
      <x:c r="H74" t="str">
        <x:v>Reconstructed from approved narrative/logic</x:v>
      </x:c>
    </x:row>
    <x:row r="75" ht="21" customHeight="1">
      <x:c r="A75" t="str">
        <x:v>R0086</x:v>
      </x:c>
      <x:c r="B75" t="str">
        <x:v>P03</x:v>
      </x:c>
      <x:c r="C75" t="str">
        <x:v>P03-M2</x:v>
      </x:c>
      <x:c r="D75" t="str">
        <x:v>P03-A16</x:v>
      </x:c>
      <x:c r="E75" t="str">
        <x:v>FS</x:v>
      </x:c>
      <x:c r="F75" t="n">
        <x:v>0</x:v>
      </x:c>
      <x:c r="G75" t="str">
        <x:v>Within Project</x:v>
      </x:c>
      <x:c r="H75" t="str">
        <x:v>Reconstructed from approved narrative/logic</x:v>
      </x:c>
    </x:row>
    <x:row r="76" ht="21" customHeight="1">
      <x:c r="A76" t="str">
        <x:v>R0087</x:v>
      </x:c>
      <x:c r="B76" t="str">
        <x:v>P03</x:v>
      </x:c>
      <x:c r="C76" t="str">
        <x:v>P03-M2</x:v>
      </x:c>
      <x:c r="D76" t="str">
        <x:v>P03-A21</x:v>
      </x:c>
      <x:c r="E76" t="str">
        <x:v>FS</x:v>
      </x:c>
      <x:c r="F76" t="n">
        <x:v>0</x:v>
      </x:c>
      <x:c r="G76" t="str">
        <x:v>Within Project</x:v>
      </x:c>
      <x:c r="H76" t="str">
        <x:v>Reconstructed from approved narrative/logic</x:v>
      </x:c>
    </x:row>
    <x:row r="77" ht="21" customHeight="1">
      <x:c r="A77" t="str">
        <x:v>R0088</x:v>
      </x:c>
      <x:c r="B77" t="str">
        <x:v>P03</x:v>
      </x:c>
      <x:c r="C77" t="str">
        <x:v>P03-A11</x:v>
      </x:c>
      <x:c r="D77" t="str">
        <x:v>P03-A12</x:v>
      </x:c>
      <x:c r="E77" t="str">
        <x:v>FS</x:v>
      </x:c>
      <x:c r="F77" t="n">
        <x:v>0</x:v>
      </x:c>
      <x:c r="G77" t="str">
        <x:v>Within Project</x:v>
      </x:c>
      <x:c r="H77" t="str">
        <x:v>Reconstructed from approved narrative/logic</x:v>
      </x:c>
    </x:row>
    <x:row r="78" ht="21" customHeight="1">
      <x:c r="A78" t="str">
        <x:v>R0089</x:v>
      </x:c>
      <x:c r="B78" t="str">
        <x:v>P03</x:v>
      </x:c>
      <x:c r="C78" t="str">
        <x:v>P03-A12</x:v>
      </x:c>
      <x:c r="D78" t="str">
        <x:v>P03-A13</x:v>
      </x:c>
      <x:c r="E78" t="str">
        <x:v>FS</x:v>
      </x:c>
      <x:c r="F78" t="n">
        <x:v>0</x:v>
      </x:c>
      <x:c r="G78" t="str">
        <x:v>Within Project</x:v>
      </x:c>
      <x:c r="H78" t="str">
        <x:v>Reconstructed from approved narrative/logic</x:v>
      </x:c>
    </x:row>
    <x:row r="79" ht="21" customHeight="1">
      <x:c r="A79" t="str">
        <x:v>R0090</x:v>
      </x:c>
      <x:c r="B79" t="str">
        <x:v>P03</x:v>
      </x:c>
      <x:c r="C79" t="str">
        <x:v>P03-A13</x:v>
      </x:c>
      <x:c r="D79" t="str">
        <x:v>P03-A14</x:v>
      </x:c>
      <x:c r="E79" t="str">
        <x:v>FS</x:v>
      </x:c>
      <x:c r="F79" t="n">
        <x:v>0</x:v>
      </x:c>
      <x:c r="G79" t="str">
        <x:v>Within Project</x:v>
      </x:c>
      <x:c r="H79" t="str">
        <x:v>Reconstructed from approved narrative/logic</x:v>
      </x:c>
    </x:row>
    <x:row r="80" ht="21" customHeight="1">
      <x:c r="A80" t="str">
        <x:v>R0091</x:v>
      </x:c>
      <x:c r="B80" t="str">
        <x:v>P03</x:v>
      </x:c>
      <x:c r="C80" t="str">
        <x:v>P03-A14</x:v>
      </x:c>
      <x:c r="D80" t="str">
        <x:v>P03-A15</x:v>
      </x:c>
      <x:c r="E80" t="str">
        <x:v>FS</x:v>
      </x:c>
      <x:c r="F80" t="n">
        <x:v>0</x:v>
      </x:c>
      <x:c r="G80" t="str">
        <x:v>Within Project</x:v>
      </x:c>
      <x:c r="H80" t="str">
        <x:v>Reconstructed from approved narrative/logic</x:v>
      </x:c>
    </x:row>
    <x:row r="81" ht="21" customHeight="1">
      <x:c r="A81" t="str">
        <x:v>R0092</x:v>
      </x:c>
      <x:c r="B81" t="str">
        <x:v>P03</x:v>
      </x:c>
      <x:c r="C81" t="str">
        <x:v>P03-A16</x:v>
      </x:c>
      <x:c r="D81" t="str">
        <x:v>P03-A17</x:v>
      </x:c>
      <x:c r="E81" t="str">
        <x:v>FS</x:v>
      </x:c>
      <x:c r="F81" t="n">
        <x:v>0</x:v>
      </x:c>
      <x:c r="G81" t="str">
        <x:v>Within Project</x:v>
      </x:c>
      <x:c r="H81" t="str">
        <x:v>Reconstructed from approved narrative/logic</x:v>
      </x:c>
    </x:row>
    <x:row r="82" ht="21" customHeight="1">
      <x:c r="A82" t="str">
        <x:v>R0093</x:v>
      </x:c>
      <x:c r="B82" t="str">
        <x:v>P03</x:v>
      </x:c>
      <x:c r="C82" t="str">
        <x:v>P03-A17</x:v>
      </x:c>
      <x:c r="D82" t="str">
        <x:v>P03-A18</x:v>
      </x:c>
      <x:c r="E82" t="str">
        <x:v>FS</x:v>
      </x:c>
      <x:c r="F82" t="n">
        <x:v>0</x:v>
      </x:c>
      <x:c r="G82" t="str">
        <x:v>Within Project</x:v>
      </x:c>
      <x:c r="H82" t="str">
        <x:v>Reconstructed from approved narrative/logic</x:v>
      </x:c>
    </x:row>
    <x:row r="83" ht="21" customHeight="1">
      <x:c r="A83" t="str">
        <x:v>R0094</x:v>
      </x:c>
      <x:c r="B83" t="str">
        <x:v>P03</x:v>
      </x:c>
      <x:c r="C83" t="str">
        <x:v>P03-A18</x:v>
      </x:c>
      <x:c r="D83" t="str">
        <x:v>P03-A19</x:v>
      </x:c>
      <x:c r="E83" t="str">
        <x:v>FS</x:v>
      </x:c>
      <x:c r="F83" t="n">
        <x:v>0</x:v>
      </x:c>
      <x:c r="G83" t="str">
        <x:v>Within Project</x:v>
      </x:c>
      <x:c r="H83" t="str">
        <x:v>Reconstructed from approved narrative/logic</x:v>
      </x:c>
    </x:row>
    <x:row r="84" ht="21" customHeight="1">
      <x:c r="A84" t="str">
        <x:v>R0095</x:v>
      </x:c>
      <x:c r="B84" t="str">
        <x:v>P03</x:v>
      </x:c>
      <x:c r="C84" t="str">
        <x:v>P03-A21</x:v>
      </x:c>
      <x:c r="D84" t="str">
        <x:v>P03-A22</x:v>
      </x:c>
      <x:c r="E84" t="str">
        <x:v>FS</x:v>
      </x:c>
      <x:c r="F84" t="n">
        <x:v>0</x:v>
      </x:c>
      <x:c r="G84" t="str">
        <x:v>Within Project</x:v>
      </x:c>
      <x:c r="H84" t="str">
        <x:v>Reconstructed from approved narrative/logic</x:v>
      </x:c>
    </x:row>
    <x:row r="85" ht="21" customHeight="1">
      <x:c r="A85" t="str">
        <x:v>R0096</x:v>
      </x:c>
      <x:c r="B85" t="str">
        <x:v>P03</x:v>
      </x:c>
      <x:c r="C85" t="str">
        <x:v>P03-A22</x:v>
      </x:c>
      <x:c r="D85" t="str">
        <x:v>P03-A23</x:v>
      </x:c>
      <x:c r="E85" t="str">
        <x:v>FS</x:v>
      </x:c>
      <x:c r="F85" t="n">
        <x:v>0</x:v>
      </x:c>
      <x:c r="G85" t="str">
        <x:v>Within Project</x:v>
      </x:c>
      <x:c r="H85" t="str">
        <x:v>Reconstructed from approved narrative/logic</x:v>
      </x:c>
    </x:row>
    <x:row r="86" ht="21" customHeight="1">
      <x:c r="A86" t="str">
        <x:v>R0097</x:v>
      </x:c>
      <x:c r="B86" t="str">
        <x:v>P03</x:v>
      </x:c>
      <x:c r="C86" t="str">
        <x:v>P03-A15</x:v>
      </x:c>
      <x:c r="D86" t="str">
        <x:v>P03-A20</x:v>
      </x:c>
      <x:c r="E86" t="str">
        <x:v>SS</x:v>
      </x:c>
      <x:c r="F86" t="n">
        <x:v>20</x:v>
      </x:c>
      <x:c r="G86" t="str">
        <x:v>Within Project</x:v>
      </x:c>
      <x:c r="H86" t="str">
        <x:v>Reconstructed from approved narrative/logic</x:v>
      </x:c>
    </x:row>
    <x:row r="87" ht="21" customHeight="1">
      <x:c r="A87" t="str">
        <x:v>R0098</x:v>
      </x:c>
      <x:c r="B87" t="str">
        <x:v>P03</x:v>
      </x:c>
      <x:c r="C87" t="str">
        <x:v>P03-A19</x:v>
      </x:c>
      <x:c r="D87" t="str">
        <x:v>P03-A20</x:v>
      </x:c>
      <x:c r="E87" t="str">
        <x:v>FS</x:v>
      </x:c>
      <x:c r="F87" t="n">
        <x:v>0</x:v>
      </x:c>
      <x:c r="G87" t="str">
        <x:v>Within Project</x:v>
      </x:c>
      <x:c r="H87" t="str">
        <x:v>Reconstructed from approved narrative/logic</x:v>
      </x:c>
    </x:row>
    <x:row r="88" ht="21" customHeight="1">
      <x:c r="A88" t="str">
        <x:v>R0099</x:v>
      </x:c>
      <x:c r="B88" t="str">
        <x:v>P03</x:v>
      </x:c>
      <x:c r="C88" t="str">
        <x:v>P03-A15</x:v>
      </x:c>
      <x:c r="D88" t="str">
        <x:v>P03-A24</x:v>
      </x:c>
      <x:c r="E88" t="str">
        <x:v>SS</x:v>
      </x:c>
      <x:c r="F88" t="n">
        <x:v>30</x:v>
      </x:c>
      <x:c r="G88" t="str">
        <x:v>Within Project</x:v>
      </x:c>
      <x:c r="H88" t="str">
        <x:v>Reconstructed from approved narrative/logic</x:v>
      </x:c>
    </x:row>
    <x:row r="89" ht="21" customHeight="1">
      <x:c r="A89" t="str">
        <x:v>R0100</x:v>
      </x:c>
      <x:c r="B89" t="str">
        <x:v>P03</x:v>
      </x:c>
      <x:c r="C89" t="str">
        <x:v>P03-A23</x:v>
      </x:c>
      <x:c r="D89" t="str">
        <x:v>P03-A24</x:v>
      </x:c>
      <x:c r="E89" t="str">
        <x:v>FS</x:v>
      </x:c>
      <x:c r="F89" t="n">
        <x:v>0</x:v>
      </x:c>
      <x:c r="G89" t="str">
        <x:v>Within Project</x:v>
      </x:c>
      <x:c r="H89" t="str">
        <x:v>Reconstructed from approved narrative/logic</x:v>
      </x:c>
    </x:row>
    <x:row r="90" ht="21" customHeight="1">
      <x:c r="A90" t="str">
        <x:v>R0101</x:v>
      </x:c>
      <x:c r="B90" t="str">
        <x:v>P03</x:v>
      </x:c>
      <x:c r="C90" t="str">
        <x:v>P03-A15</x:v>
      </x:c>
      <x:c r="D90" t="str">
        <x:v>P03-A25</x:v>
      </x:c>
      <x:c r="E90" t="str">
        <x:v>FS</x:v>
      </x:c>
      <x:c r="F90" t="n">
        <x:v>0</x:v>
      </x:c>
      <x:c r="G90" t="str">
        <x:v>Within Project</x:v>
      </x:c>
      <x:c r="H90" t="str">
        <x:v>Reconstructed from approved narrative/logic</x:v>
      </x:c>
    </x:row>
    <x:row r="91" ht="21" customHeight="1">
      <x:c r="A91" t="str">
        <x:v>R0102</x:v>
      </x:c>
      <x:c r="B91" t="str">
        <x:v>P03</x:v>
      </x:c>
      <x:c r="C91" t="str">
        <x:v>P03-A20</x:v>
      </x:c>
      <x:c r="D91" t="str">
        <x:v>P03-A25</x:v>
      </x:c>
      <x:c r="E91" t="str">
        <x:v>FS</x:v>
      </x:c>
      <x:c r="F91" t="n">
        <x:v>0</x:v>
      </x:c>
      <x:c r="G91" t="str">
        <x:v>Within Project</x:v>
      </x:c>
      <x:c r="H91" t="str">
        <x:v>Reconstructed from approved narrative/logic</x:v>
      </x:c>
    </x:row>
    <x:row r="92" ht="21" customHeight="1">
      <x:c r="A92" t="str">
        <x:v>R0103</x:v>
      </x:c>
      <x:c r="B92" t="str">
        <x:v>P03</x:v>
      </x:c>
      <x:c r="C92" t="str">
        <x:v>P03-A15</x:v>
      </x:c>
      <x:c r="D92" t="str">
        <x:v>P03-A26</x:v>
      </x:c>
      <x:c r="E92" t="str">
        <x:v>FS</x:v>
      </x:c>
      <x:c r="F92" t="n">
        <x:v>0</x:v>
      </x:c>
      <x:c r="G92" t="str">
        <x:v>Within Project</x:v>
      </x:c>
      <x:c r="H92" t="str">
        <x:v>Reconstructed from approved narrative/logic</x:v>
      </x:c>
    </x:row>
    <x:row r="93" ht="21" customHeight="1">
      <x:c r="A93" t="str">
        <x:v>R0104</x:v>
      </x:c>
      <x:c r="B93" t="str">
        <x:v>P03</x:v>
      </x:c>
      <x:c r="C93" t="str">
        <x:v>P03-A25</x:v>
      </x:c>
      <x:c r="D93" t="str">
        <x:v>P03-A26</x:v>
      </x:c>
      <x:c r="E93" t="str">
        <x:v>FS</x:v>
      </x:c>
      <x:c r="F93" t="n">
        <x:v>0</x:v>
      </x:c>
      <x:c r="G93" t="str">
        <x:v>Within Project</x:v>
      </x:c>
      <x:c r="H93" t="str">
        <x:v>Reconstructed from approved narrative/logic</x:v>
      </x:c>
    </x:row>
    <x:row r="94" ht="21" customHeight="1">
      <x:c r="A94" t="str">
        <x:v>R0105</x:v>
      </x:c>
      <x:c r="B94" t="str">
        <x:v>P03</x:v>
      </x:c>
      <x:c r="C94" t="str">
        <x:v>P03-A24</x:v>
      </x:c>
      <x:c r="D94" t="str">
        <x:v>P03-A26</x:v>
      </x:c>
      <x:c r="E94" t="str">
        <x:v>FS</x:v>
      </x:c>
      <x:c r="F94" t="n">
        <x:v>0</x:v>
      </x:c>
      <x:c r="G94" t="str">
        <x:v>Within Project</x:v>
      </x:c>
      <x:c r="H94" t="str">
        <x:v>Reconstructed from approved narrative/logic</x:v>
      </x:c>
    </x:row>
    <x:row r="95" ht="21" customHeight="1">
      <x:c r="A95" t="str">
        <x:v>R0106</x:v>
      </x:c>
      <x:c r="B95" t="str">
        <x:v>P03</x:v>
      </x:c>
      <x:c r="C95" t="str">
        <x:v>P03-A26</x:v>
      </x:c>
      <x:c r="D95" t="str">
        <x:v>P03-A27</x:v>
      </x:c>
      <x:c r="E95" t="str">
        <x:v>FS</x:v>
      </x:c>
      <x:c r="F95" t="n">
        <x:v>0</x:v>
      </x:c>
      <x:c r="G95" t="str">
        <x:v>Within Project</x:v>
      </x:c>
      <x:c r="H95" t="str">
        <x:v>Reconstructed from approved narrative/logic</x:v>
      </x:c>
    </x:row>
    <x:row r="96" ht="21" customHeight="1">
      <x:c r="A96" t="str">
        <x:v>R0107</x:v>
      </x:c>
      <x:c r="B96" t="str">
        <x:v>P03</x:v>
      </x:c>
      <x:c r="C96" t="str">
        <x:v>P03-A27</x:v>
      </x:c>
      <x:c r="D96" t="str">
        <x:v>P03-A28</x:v>
      </x:c>
      <x:c r="E96" t="str">
        <x:v>FS</x:v>
      </x:c>
      <x:c r="F96" t="n">
        <x:v>0</x:v>
      </x:c>
      <x:c r="G96" t="str">
        <x:v>Within Project</x:v>
      </x:c>
      <x:c r="H96" t="str">
        <x:v>Reconstructed from approved narrative/logic</x:v>
      </x:c>
    </x:row>
    <x:row r="97" ht="21" customHeight="1">
      <x:c r="A97" t="str">
        <x:v>R0108</x:v>
      </x:c>
      <x:c r="B97" t="str">
        <x:v>P03</x:v>
      </x:c>
      <x:c r="C97" t="str">
        <x:v>P03-A27</x:v>
      </x:c>
      <x:c r="D97" t="str">
        <x:v>P03-A29</x:v>
      </x:c>
      <x:c r="E97" t="str">
        <x:v>SS</x:v>
      </x:c>
      <x:c r="F97" t="n">
        <x:v>10</x:v>
      </x:c>
      <x:c r="G97" t="str">
        <x:v>Within Project</x:v>
      </x:c>
      <x:c r="H97" t="str">
        <x:v>Reconstructed from approved narrative/logic</x:v>
      </x:c>
    </x:row>
    <x:row r="98" ht="21" customHeight="1">
      <x:c r="A98" t="str">
        <x:v>R0109</x:v>
      </x:c>
      <x:c r="B98" t="str">
        <x:v>P03</x:v>
      </x:c>
      <x:c r="C98" t="str">
        <x:v>P03-A28</x:v>
      </x:c>
      <x:c r="D98" t="str">
        <x:v>P03-A30</x:v>
      </x:c>
      <x:c r="E98" t="str">
        <x:v>FS</x:v>
      </x:c>
      <x:c r="F98" t="n">
        <x:v>0</x:v>
      </x:c>
      <x:c r="G98" t="str">
        <x:v>Within Project</x:v>
      </x:c>
      <x:c r="H98" t="str">
        <x:v>Reconstructed from approved narrative/logic</x:v>
      </x:c>
    </x:row>
    <x:row r="99" ht="21" customHeight="1">
      <x:c r="A99" t="str">
        <x:v>R0110</x:v>
      </x:c>
      <x:c r="B99" t="str">
        <x:v>P03</x:v>
      </x:c>
      <x:c r="C99" t="str">
        <x:v>P03-A29</x:v>
      </x:c>
      <x:c r="D99" t="str">
        <x:v>P03-A30</x:v>
      </x:c>
      <x:c r="E99" t="str">
        <x:v>FS</x:v>
      </x:c>
      <x:c r="F99" t="n">
        <x:v>0</x:v>
      </x:c>
      <x:c r="G99" t="str">
        <x:v>Within Project</x:v>
      </x:c>
      <x:c r="H99" t="str">
        <x:v>Reconstructed from approved narrative/logic</x:v>
      </x:c>
    </x:row>
    <x:row r="100" ht="21" customHeight="1">
      <x:c r="A100" t="str">
        <x:v>R0111</x:v>
      </x:c>
      <x:c r="B100" t="str">
        <x:v>P03</x:v>
      </x:c>
      <x:c r="C100" t="str">
        <x:v>P03-A30</x:v>
      </x:c>
      <x:c r="D100" t="str">
        <x:v>P03-A31</x:v>
      </x:c>
      <x:c r="E100" t="str">
        <x:v>FS</x:v>
      </x:c>
      <x:c r="F100" t="n">
        <x:v>0</x:v>
      </x:c>
      <x:c r="G100" t="str">
        <x:v>Within Project</x:v>
      </x:c>
      <x:c r="H100" t="str">
        <x:v>Reconstructed from approved narrative/logic</x:v>
      </x:c>
    </x:row>
    <x:row r="101" ht="21" customHeight="1">
      <x:c r="A101" t="str">
        <x:v>R0112</x:v>
      </x:c>
      <x:c r="B101" t="str">
        <x:v>P03</x:v>
      </x:c>
      <x:c r="C101" t="str">
        <x:v>P03-A30</x:v>
      </x:c>
      <x:c r="D101" t="str">
        <x:v>P03-A32</x:v>
      </x:c>
      <x:c r="E101" t="str">
        <x:v>FS</x:v>
      </x:c>
      <x:c r="F101" t="n">
        <x:v>0</x:v>
      </x:c>
      <x:c r="G101" t="str">
        <x:v>Within Project</x:v>
      </x:c>
      <x:c r="H101" t="str">
        <x:v>Reconstructed from approved narrative/logic</x:v>
      </x:c>
    </x:row>
    <x:row r="102" ht="21" customHeight="1">
      <x:c r="A102" t="str">
        <x:v>R0113</x:v>
      </x:c>
      <x:c r="B102" t="str">
        <x:v>P03</x:v>
      </x:c>
      <x:c r="C102" t="str">
        <x:v>P03-A32</x:v>
      </x:c>
      <x:c r="D102" t="str">
        <x:v>P03-A33</x:v>
      </x:c>
      <x:c r="E102" t="str">
        <x:v>FS</x:v>
      </x:c>
      <x:c r="F102" t="n">
        <x:v>0</x:v>
      </x:c>
      <x:c r="G102" t="str">
        <x:v>Within Project</x:v>
      </x:c>
      <x:c r="H102" t="str">
        <x:v>Reconstructed from approved narrative/logic</x:v>
      </x:c>
    </x:row>
    <x:row r="103" ht="21" customHeight="1">
      <x:c r="A103" t="str">
        <x:v>R0114</x:v>
      </x:c>
      <x:c r="B103" t="str">
        <x:v>P03</x:v>
      </x:c>
      <x:c r="C103" t="str">
        <x:v>P03-A31</x:v>
      </x:c>
      <x:c r="D103" t="str">
        <x:v>P03-A33</x:v>
      </x:c>
      <x:c r="E103" t="str">
        <x:v>FF</x:v>
      </x:c>
      <x:c r="F103" t="n">
        <x:v>0</x:v>
      </x:c>
      <x:c r="G103" t="str">
        <x:v>Within Project</x:v>
      </x:c>
      <x:c r="H103" t="str">
        <x:v>Reconstructed from approved narrative/logic</x:v>
      </x:c>
    </x:row>
    <x:row r="104" ht="21" customHeight="1">
      <x:c r="A104" t="str">
        <x:v>R0115</x:v>
      </x:c>
      <x:c r="B104" t="str">
        <x:v>P03</x:v>
      </x:c>
      <x:c r="C104" t="str">
        <x:v>P03-A14</x:v>
      </x:c>
      <x:c r="D104" t="str">
        <x:v>P03-M5</x:v>
      </x:c>
      <x:c r="E104" t="str">
        <x:v>FS</x:v>
      </x:c>
      <x:c r="F104" t="n">
        <x:v>0</x:v>
      </x:c>
      <x:c r="G104" t="str">
        <x:v>Within Project</x:v>
      </x:c>
      <x:c r="H104" t="str">
        <x:v>Reconstructed from approved narrative/logic</x:v>
      </x:c>
    </x:row>
    <x:row r="105" ht="21" customHeight="1">
      <x:c r="A105" t="str">
        <x:v>R0116</x:v>
      </x:c>
      <x:c r="B105" t="str">
        <x:v>P03</x:v>
      </x:c>
      <x:c r="C105" t="str">
        <x:v>P03-A26</x:v>
      </x:c>
      <x:c r="D105" t="str">
        <x:v>P03-M6</x:v>
      </x:c>
      <x:c r="E105" t="str">
        <x:v>FS</x:v>
      </x:c>
      <x:c r="F105" t="n">
        <x:v>0</x:v>
      </x:c>
      <x:c r="G105" t="str">
        <x:v>Within Project</x:v>
      </x:c>
      <x:c r="H105" t="str">
        <x:v>Reconstructed from approved narrative/logic</x:v>
      </x:c>
    </x:row>
    <x:row r="106" ht="21" customHeight="1">
      <x:c r="A106" t="str">
        <x:v>R0117</x:v>
      </x:c>
      <x:c r="B106" t="str">
        <x:v>P03</x:v>
      </x:c>
      <x:c r="C106" t="str">
        <x:v>P03-A27</x:v>
      </x:c>
      <x:c r="D106" t="str">
        <x:v>P03-M7</x:v>
      </x:c>
      <x:c r="E106" t="str">
        <x:v>FS</x:v>
      </x:c>
      <x:c r="F106" t="n">
        <x:v>0</x:v>
      </x:c>
      <x:c r="G106" t="str">
        <x:v>Within Project</x:v>
      </x:c>
      <x:c r="H106" t="str">
        <x:v>Reconstructed from approved narrative/logic</x:v>
      </x:c>
    </x:row>
    <x:row r="107" ht="21" customHeight="1">
      <x:c r="A107" t="str">
        <x:v>R0118</x:v>
      </x:c>
      <x:c r="B107" t="str">
        <x:v>P03</x:v>
      </x:c>
      <x:c r="C107" t="str">
        <x:v>P03-A28</x:v>
      </x:c>
      <x:c r="D107" t="str">
        <x:v>P03-M8</x:v>
      </x:c>
      <x:c r="E107" t="str">
        <x:v>FS</x:v>
      </x:c>
      <x:c r="F107" t="n">
        <x:v>0</x:v>
      </x:c>
      <x:c r="G107" t="str">
        <x:v>Within Project</x:v>
      </x:c>
      <x:c r="H107" t="str">
        <x:v>Reconstructed from approved narrative/logic</x:v>
      </x:c>
    </x:row>
    <x:row r="108" ht="21" customHeight="1">
      <x:c r="A108" t="str">
        <x:v>R0119</x:v>
      </x:c>
      <x:c r="B108" t="str">
        <x:v>P03</x:v>
      </x:c>
      <x:c r="C108" t="str">
        <x:v>P03-A30</x:v>
      </x:c>
      <x:c r="D108" t="str">
        <x:v>P03-M9</x:v>
      </x:c>
      <x:c r="E108" t="str">
        <x:v>FS</x:v>
      </x:c>
      <x:c r="F108" t="n">
        <x:v>0</x:v>
      </x:c>
      <x:c r="G108" t="str">
        <x:v>Within Project</x:v>
      </x:c>
      <x:c r="H108" t="str">
        <x:v>Reconstructed from approved narrative/logic</x:v>
      </x:c>
    </x:row>
    <x:row r="109" ht="21" customHeight="1">
      <x:c r="A109" t="str">
        <x:v>R0120</x:v>
      </x:c>
      <x:c r="B109" t="str">
        <x:v>P03</x:v>
      </x:c>
      <x:c r="C109" t="str">
        <x:v>P03-A30</x:v>
      </x:c>
      <x:c r="D109" t="str">
        <x:v>P03-M3</x:v>
      </x:c>
      <x:c r="E109" t="str">
        <x:v>FS</x:v>
      </x:c>
      <x:c r="F109" t="n">
        <x:v>0</x:v>
      </x:c>
      <x:c r="G109" t="str">
        <x:v>Within Project</x:v>
      </x:c>
      <x:c r="H109" t="str">
        <x:v>Reconstructed from approved narrative/logic</x:v>
      </x:c>
    </x:row>
    <x:row r="110" ht="21" customHeight="1">
      <x:c r="A110" t="str">
        <x:v>R0121</x:v>
      </x:c>
      <x:c r="B110" t="str">
        <x:v>P03</x:v>
      </x:c>
      <x:c r="C110" t="str">
        <x:v>P03-A33</x:v>
      </x:c>
      <x:c r="D110" t="str">
        <x:v>P03-M4</x:v>
      </x:c>
      <x:c r="E110" t="str">
        <x:v>FS</x:v>
      </x:c>
      <x:c r="F110" t="n">
        <x:v>0</x:v>
      </x:c>
      <x:c r="G110" t="str">
        <x:v>Within Project</x:v>
      </x:c>
      <x:c r="H110" t="str">
        <x:v>Reconstructed from approved narrative/logic</x:v>
      </x:c>
    </x:row>
    <x:row r="111" ht="21" customHeight="1">
      <x:c r="A111" t="str">
        <x:v>R0122</x:v>
      </x:c>
      <x:c r="B111" t="str">
        <x:v>P03</x:v>
      </x:c>
      <x:c r="C111" t="str">
        <x:v>P03-M1</x:v>
      </x:c>
      <x:c r="D111" t="str">
        <x:v>P03-I-P03-01</x:v>
      </x:c>
      <x:c r="E111" t="str">
        <x:v>FS</x:v>
      </x:c>
      <x:c r="F111" t="n">
        <x:v>0</x:v>
      </x:c>
      <x:c r="G111" t="str">
        <x:v>Within Project</x:v>
      </x:c>
      <x:c r="H111" t="str">
        <x:v>Reconstructed from approved narrative/logic</x:v>
      </x:c>
    </x:row>
    <x:row r="112" ht="21" customHeight="1">
      <x:c r="A112" t="str">
        <x:v>R0123</x:v>
      </x:c>
      <x:c r="B112" t="str">
        <x:v>P03</x:v>
      </x:c>
      <x:c r="C112" t="str">
        <x:v>P03-A16</x:v>
      </x:c>
      <x:c r="D112" t="str">
        <x:v>P03-I-P03-02</x:v>
      </x:c>
      <x:c r="E112" t="str">
        <x:v>FS</x:v>
      </x:c>
      <x:c r="F112" t="n">
        <x:v>0</x:v>
      </x:c>
      <x:c r="G112" t="str">
        <x:v>Within Project</x:v>
      </x:c>
      <x:c r="H112" t="str">
        <x:v>Reconstructed from approved narrative/logic</x:v>
      </x:c>
    </x:row>
    <x:row r="113" ht="21" customHeight="1">
      <x:c r="A113" t="str">
        <x:v>R0124</x:v>
      </x:c>
      <x:c r="B113" t="str">
        <x:v>P03</x:v>
      </x:c>
      <x:c r="C113" t="str">
        <x:v>P03-M6</x:v>
      </x:c>
      <x:c r="D113" t="str">
        <x:v>P03-I-P03-03</x:v>
      </x:c>
      <x:c r="E113" t="str">
        <x:v>FS</x:v>
      </x:c>
      <x:c r="F113" t="n">
        <x:v>0</x:v>
      </x:c>
      <x:c r="G113" t="str">
        <x:v>Within Project</x:v>
      </x:c>
      <x:c r="H113" t="str">
        <x:v>Reconstructed from approved narrative/logic</x:v>
      </x:c>
    </x:row>
    <x:row r="114" ht="21" customHeight="1">
      <x:c r="A114" t="str">
        <x:v>R0125</x:v>
      </x:c>
      <x:c r="B114" t="str">
        <x:v>P04</x:v>
      </x:c>
      <x:c r="C114" t="str">
        <x:v>P04-A1</x:v>
      </x:c>
      <x:c r="D114" t="str">
        <x:v>P04-A2</x:v>
      </x:c>
      <x:c r="E114" t="str">
        <x:v>FS</x:v>
      </x:c>
      <x:c r="F114" t="n">
        <x:v>0</x:v>
      </x:c>
      <x:c r="G114" t="str">
        <x:v>Within Project</x:v>
      </x:c>
      <x:c r="H114" t="str">
        <x:v>Reconstructed from approved narrative/logic</x:v>
      </x:c>
    </x:row>
    <x:row r="115" ht="21" customHeight="1">
      <x:c r="A115" t="str">
        <x:v>R0126</x:v>
      </x:c>
      <x:c r="B115" t="str">
        <x:v>P04</x:v>
      </x:c>
      <x:c r="C115" t="str">
        <x:v>P04-A2</x:v>
      </x:c>
      <x:c r="D115" t="str">
        <x:v>P04-A3</x:v>
      </x:c>
      <x:c r="E115" t="str">
        <x:v>FS</x:v>
      </x:c>
      <x:c r="F115" t="n">
        <x:v>0</x:v>
      </x:c>
      <x:c r="G115" t="str">
        <x:v>Within Project</x:v>
      </x:c>
      <x:c r="H115" t="str">
        <x:v>Reconstructed from approved narrative/logic</x:v>
      </x:c>
    </x:row>
    <x:row r="116" ht="21" customHeight="1">
      <x:c r="A116" t="str">
        <x:v>R0127</x:v>
      </x:c>
      <x:c r="B116" t="str">
        <x:v>P04</x:v>
      </x:c>
      <x:c r="C116" t="str">
        <x:v>P04-A3</x:v>
      </x:c>
      <x:c r="D116" t="str">
        <x:v>P04-A4</x:v>
      </x:c>
      <x:c r="E116" t="str">
        <x:v>FS</x:v>
      </x:c>
      <x:c r="F116" t="n">
        <x:v>10</x:v>
      </x:c>
      <x:c r="G116" t="str">
        <x:v>Within Project</x:v>
      </x:c>
      <x:c r="H116" t="str">
        <x:v>Reconstructed from approved narrative/logic</x:v>
      </x:c>
    </x:row>
    <x:row r="117" ht="21" customHeight="1">
      <x:c r="A117" t="str">
        <x:v>R0128</x:v>
      </x:c>
      <x:c r="B117" t="str">
        <x:v>P04</x:v>
      </x:c>
      <x:c r="C117" t="str">
        <x:v>P04-A4</x:v>
      </x:c>
      <x:c r="D117" t="str">
        <x:v>P04-M1</x:v>
      </x:c>
      <x:c r="E117" t="str">
        <x:v>FS</x:v>
      </x:c>
      <x:c r="F117" t="n">
        <x:v>0</x:v>
      </x:c>
      <x:c r="G117" t="str">
        <x:v>Within Project</x:v>
      </x:c>
      <x:c r="H117" t="str">
        <x:v>Reconstructed from approved narrative/logic</x:v>
      </x:c>
    </x:row>
    <x:row r="118" ht="21" customHeight="1">
      <x:c r="A118" t="str">
        <x:v>R0129</x:v>
      </x:c>
      <x:c r="B118" t="str">
        <x:v>P04</x:v>
      </x:c>
      <x:c r="C118" t="str">
        <x:v>P04-A4</x:v>
      </x:c>
      <x:c r="D118" t="str">
        <x:v>P04-A4b</x:v>
      </x:c>
      <x:c r="E118" t="str">
        <x:v>FS</x:v>
      </x:c>
      <x:c r="F118" t="n">
        <x:v>0</x:v>
      </x:c>
      <x:c r="G118" t="str">
        <x:v>Within Project</x:v>
      </x:c>
      <x:c r="H118" t="str">
        <x:v>Reconstructed from approved narrative/logic</x:v>
      </x:c>
    </x:row>
    <x:row r="119" ht="21" customHeight="1">
      <x:c r="A119" t="str">
        <x:v>R0130</x:v>
      </x:c>
      <x:c r="B119" t="str">
        <x:v>P04</x:v>
      </x:c>
      <x:c r="C119" t="str">
        <x:v>P04-A4</x:v>
      </x:c>
      <x:c r="D119" t="str">
        <x:v>P04-A5</x:v>
      </x:c>
      <x:c r="E119" t="str">
        <x:v>SS</x:v>
      </x:c>
      <x:c r="F119" t="n">
        <x:v>10</x:v>
      </x:c>
      <x:c r="G119" t="str">
        <x:v>Within Project</x:v>
      </x:c>
      <x:c r="H119" t="str">
        <x:v>Reconstructed from approved narrative/logic</x:v>
      </x:c>
    </x:row>
    <x:row r="120" ht="21" customHeight="1">
      <x:c r="A120" t="str">
        <x:v>R0131</x:v>
      </x:c>
      <x:c r="B120" t="str">
        <x:v>P04</x:v>
      </x:c>
      <x:c r="C120" t="str">
        <x:v>P04-A5</x:v>
      </x:c>
      <x:c r="D120" t="str">
        <x:v>P04-A5b</x:v>
      </x:c>
      <x:c r="E120" t="str">
        <x:v>FS</x:v>
      </x:c>
      <x:c r="F120" t="n">
        <x:v>0</x:v>
      </x:c>
      <x:c r="G120" t="str">
        <x:v>Within Project</x:v>
      </x:c>
      <x:c r="H120" t="str">
        <x:v>Reconstructed from approved narrative/logic</x:v>
      </x:c>
    </x:row>
    <x:row r="121" ht="21" customHeight="1">
      <x:c r="A121" t="str">
        <x:v>R0132</x:v>
      </x:c>
      <x:c r="B121" t="str">
        <x:v>P04</x:v>
      </x:c>
      <x:c r="C121" t="str">
        <x:v>P04-A5b</x:v>
      </x:c>
      <x:c r="D121" t="str">
        <x:v>P04-A5c</x:v>
      </x:c>
      <x:c r="E121" t="str">
        <x:v>FS</x:v>
      </x:c>
      <x:c r="F121" t="n">
        <x:v>0</x:v>
      </x:c>
      <x:c r="G121" t="str">
        <x:v>Within Project</x:v>
      </x:c>
      <x:c r="H121" t="str">
        <x:v>Reconstructed from approved narrative/logic</x:v>
      </x:c>
    </x:row>
    <x:row r="122" ht="21" customHeight="1">
      <x:c r="A122" t="str">
        <x:v>R0133</x:v>
      </x:c>
      <x:c r="B122" t="str">
        <x:v>P04</x:v>
      </x:c>
      <x:c r="C122" t="str">
        <x:v>P04-A5c</x:v>
      </x:c>
      <x:c r="D122" t="str">
        <x:v>P04-M2</x:v>
      </x:c>
      <x:c r="E122" t="str">
        <x:v>FS</x:v>
      </x:c>
      <x:c r="F122" t="n">
        <x:v>15</x:v>
      </x:c>
      <x:c r="G122" t="str">
        <x:v>Within Project</x:v>
      </x:c>
      <x:c r="H122" t="str">
        <x:v>Reconstructed from approved narrative/logic | USER-APPROVED SYNTHETIC POST-GOVERNING-APPROVAL NTP RELEASE HOLD: 15 business days (not recovered original)</x:v>
      </x:c>
    </x:row>
    <x:row r="123" ht="21" customHeight="1">
      <x:c r="A123" t="str">
        <x:v>R0134</x:v>
      </x:c>
      <x:c r="B123" t="str">
        <x:v>P04</x:v>
      </x:c>
      <x:c r="C123" t="str">
        <x:v>P04-A4b</x:v>
      </x:c>
      <x:c r="D123" t="str">
        <x:v>P04-M2</x:v>
      </x:c>
      <x:c r="E123" t="str">
        <x:v>FS</x:v>
      </x:c>
      <x:c r="F123" t="n">
        <x:v>0</x:v>
      </x:c>
      <x:c r="G123" t="str">
        <x:v>Within Project</x:v>
      </x:c>
      <x:c r="H123" t="str">
        <x:v>Reconstructed from approved narrative/logic</x:v>
      </x:c>
    </x:row>
    <x:row r="124" ht="21" customHeight="1">
      <x:c r="A124" t="str">
        <x:v>R0135</x:v>
      </x:c>
      <x:c r="B124" t="str">
        <x:v>P04</x:v>
      </x:c>
      <x:c r="C124" t="str">
        <x:v>P04-M2</x:v>
      </x:c>
      <x:c r="D124" t="str">
        <x:v>P04-A6</x:v>
      </x:c>
      <x:c r="E124" t="str">
        <x:v>FS</x:v>
      </x:c>
      <x:c r="F124" t="n">
        <x:v>0</x:v>
      </x:c>
      <x:c r="G124" t="str">
        <x:v>Within Project</x:v>
      </x:c>
      <x:c r="H124" t="str">
        <x:v>Reconstructed from approved narrative/logic</x:v>
      </x:c>
    </x:row>
    <x:row r="125" ht="21" customHeight="1">
      <x:c r="A125" t="str">
        <x:v>R0136</x:v>
      </x:c>
      <x:c r="B125" t="str">
        <x:v>P04</x:v>
      </x:c>
      <x:c r="C125" t="str">
        <x:v>P04-M2</x:v>
      </x:c>
      <x:c r="D125" t="str">
        <x:v>P04-A7</x:v>
      </x:c>
      <x:c r="E125" t="str">
        <x:v>FS</x:v>
      </x:c>
      <x:c r="F125" t="n">
        <x:v>0</x:v>
      </x:c>
      <x:c r="G125" t="str">
        <x:v>Within Project</x:v>
      </x:c>
      <x:c r="H125" t="str">
        <x:v>Reconstructed from approved narrative/logic</x:v>
      </x:c>
    </x:row>
    <x:row r="126" ht="21" customHeight="1">
      <x:c r="A126" t="str">
        <x:v>R0137</x:v>
      </x:c>
      <x:c r="B126" t="str">
        <x:v>P04</x:v>
      </x:c>
      <x:c r="C126" t="str">
        <x:v>P04-A6</x:v>
      </x:c>
      <x:c r="D126" t="str">
        <x:v>P04-A8</x:v>
      </x:c>
      <x:c r="E126" t="str">
        <x:v>FS</x:v>
      </x:c>
      <x:c r="F126" t="n">
        <x:v>0</x:v>
      </x:c>
      <x:c r="G126" t="str">
        <x:v>Within Project</x:v>
      </x:c>
      <x:c r="H126" t="str">
        <x:v>Reconstructed from approved narrative/logic</x:v>
      </x:c>
    </x:row>
    <x:row r="127" ht="21" customHeight="1">
      <x:c r="A127" t="str">
        <x:v>R0138</x:v>
      </x:c>
      <x:c r="B127" t="str">
        <x:v>P04</x:v>
      </x:c>
      <x:c r="C127" t="str">
        <x:v>P04-A7</x:v>
      </x:c>
      <x:c r="D127" t="str">
        <x:v>P04-A8</x:v>
      </x:c>
      <x:c r="E127" t="str">
        <x:v>FS</x:v>
      </x:c>
      <x:c r="F127" t="n">
        <x:v>0</x:v>
      </x:c>
      <x:c r="G127" t="str">
        <x:v>Within Project</x:v>
      </x:c>
      <x:c r="H127" t="str">
        <x:v>Reconstructed from approved narrative/logic</x:v>
      </x:c>
    </x:row>
    <x:row r="128" ht="21" customHeight="1">
      <x:c r="A128" t="str">
        <x:v>R0139</x:v>
      </x:c>
      <x:c r="B128" t="str">
        <x:v>P04</x:v>
      </x:c>
      <x:c r="C128" t="str">
        <x:v>P04-A8</x:v>
      </x:c>
      <x:c r="D128" t="str">
        <x:v>P04-A9</x:v>
      </x:c>
      <x:c r="E128" t="str">
        <x:v>FS</x:v>
      </x:c>
      <x:c r="F128" t="n">
        <x:v>0</x:v>
      </x:c>
      <x:c r="G128" t="str">
        <x:v>Within Project</x:v>
      </x:c>
      <x:c r="H128" t="str">
        <x:v>Reconstructed from approved narrative/logic</x:v>
      </x:c>
    </x:row>
    <x:row r="129" ht="21" customHeight="1">
      <x:c r="A129" t="str">
        <x:v>R0140</x:v>
      </x:c>
      <x:c r="B129" t="str">
        <x:v>P04</x:v>
      </x:c>
      <x:c r="C129" t="str">
        <x:v>P04-A9</x:v>
      </x:c>
      <x:c r="D129" t="str">
        <x:v>P04-A10</x:v>
      </x:c>
      <x:c r="E129" t="str">
        <x:v>FS</x:v>
      </x:c>
      <x:c r="F129" t="n">
        <x:v>0</x:v>
      </x:c>
      <x:c r="G129" t="str">
        <x:v>Within Project</x:v>
      </x:c>
      <x:c r="H129" t="str">
        <x:v>Reconstructed from approved narrative/logic</x:v>
      </x:c>
    </x:row>
    <x:row r="130" ht="21" customHeight="1">
      <x:c r="A130" t="str">
        <x:v>R0141</x:v>
      </x:c>
      <x:c r="B130" t="str">
        <x:v>P04</x:v>
      </x:c>
      <x:c r="C130" t="str">
        <x:v>P04-A10</x:v>
      </x:c>
      <x:c r="D130" t="str">
        <x:v>P04-A11</x:v>
      </x:c>
      <x:c r="E130" t="str">
        <x:v>FS</x:v>
      </x:c>
      <x:c r="F130" t="n">
        <x:v>0</x:v>
      </x:c>
      <x:c r="G130" t="str">
        <x:v>Within Project</x:v>
      </x:c>
      <x:c r="H130" t="str">
        <x:v>Reconstructed from approved narrative/logic</x:v>
      </x:c>
    </x:row>
    <x:row r="131" ht="21" customHeight="1">
      <x:c r="A131" t="str">
        <x:v>R0142</x:v>
      </x:c>
      <x:c r="B131" t="str">
        <x:v>P04</x:v>
      </x:c>
      <x:c r="C131" t="str">
        <x:v>P04-A11</x:v>
      </x:c>
      <x:c r="D131" t="str">
        <x:v>P04-A12</x:v>
      </x:c>
      <x:c r="E131" t="str">
        <x:v>FS</x:v>
      </x:c>
      <x:c r="F131" t="n">
        <x:v>0</x:v>
      </x:c>
      <x:c r="G131" t="str">
        <x:v>Within Project</x:v>
      </x:c>
      <x:c r="H131" t="str">
        <x:v>Reconstructed from approved narrative/logic</x:v>
      </x:c>
    </x:row>
    <x:row r="132" ht="21" customHeight="1">
      <x:c r="A132" t="str">
        <x:v>R0143</x:v>
      </x:c>
      <x:c r="B132" t="str">
        <x:v>P04</x:v>
      </x:c>
      <x:c r="C132" t="str">
        <x:v>P04-A12</x:v>
      </x:c>
      <x:c r="D132" t="str">
        <x:v>P04-A13</x:v>
      </x:c>
      <x:c r="E132" t="str">
        <x:v>FS</x:v>
      </x:c>
      <x:c r="F132" t="n">
        <x:v>0</x:v>
      </x:c>
      <x:c r="G132" t="str">
        <x:v>Within Project</x:v>
      </x:c>
      <x:c r="H132" t="str">
        <x:v>Reconstructed from approved narrative/logic</x:v>
      </x:c>
    </x:row>
    <x:row r="133" ht="21" customHeight="1">
      <x:c r="A133" t="str">
        <x:v>R0144</x:v>
      </x:c>
      <x:c r="B133" t="str">
        <x:v>P04</x:v>
      </x:c>
      <x:c r="C133" t="str">
        <x:v>P04-A13</x:v>
      </x:c>
      <x:c r="D133" t="str">
        <x:v>P04-A14</x:v>
      </x:c>
      <x:c r="E133" t="str">
        <x:v>FS</x:v>
      </x:c>
      <x:c r="F133" t="n">
        <x:v>0</x:v>
      </x:c>
      <x:c r="G133" t="str">
        <x:v>Within Project</x:v>
      </x:c>
      <x:c r="H133" t="str">
        <x:v>Reconstructed from approved narrative/logic</x:v>
      </x:c>
    </x:row>
    <x:row r="134" ht="21" customHeight="1">
      <x:c r="A134" t="str">
        <x:v>R0145</x:v>
      </x:c>
      <x:c r="B134" t="str">
        <x:v>P04</x:v>
      </x:c>
      <x:c r="C134" t="str">
        <x:v>P04-A14</x:v>
      </x:c>
      <x:c r="D134" t="str">
        <x:v>P04-A15</x:v>
      </x:c>
      <x:c r="E134" t="str">
        <x:v>FS</x:v>
      </x:c>
      <x:c r="F134" t="n">
        <x:v>0</x:v>
      </x:c>
      <x:c r="G134" t="str">
        <x:v>Within Project</x:v>
      </x:c>
      <x:c r="H134" t="str">
        <x:v>Reconstructed from approved narrative/logic</x:v>
      </x:c>
    </x:row>
    <x:row r="135" ht="21" customHeight="1">
      <x:c r="A135" t="str">
        <x:v>R0146</x:v>
      </x:c>
      <x:c r="B135" t="str">
        <x:v>P04</x:v>
      </x:c>
      <x:c r="C135" t="str">
        <x:v>P04-A15</x:v>
      </x:c>
      <x:c r="D135" t="str">
        <x:v>P04-M5</x:v>
      </x:c>
      <x:c r="E135" t="str">
        <x:v>FS</x:v>
      </x:c>
      <x:c r="F135" t="n">
        <x:v>0</x:v>
      </x:c>
      <x:c r="G135" t="str">
        <x:v>Within Project</x:v>
      </x:c>
      <x:c r="H135" t="str">
        <x:v>Reconstructed from approved narrative/logic</x:v>
      </x:c>
    </x:row>
    <x:row r="136" ht="21" customHeight="1">
      <x:c r="A136" t="str">
        <x:v>R0147</x:v>
      </x:c>
      <x:c r="B136" t="str">
        <x:v>P04</x:v>
      </x:c>
      <x:c r="C136" t="str">
        <x:v>P04-A15</x:v>
      </x:c>
      <x:c r="D136" t="str">
        <x:v>P04-A16</x:v>
      </x:c>
      <x:c r="E136" t="str">
        <x:v>FS</x:v>
      </x:c>
      <x:c r="F136" t="n">
        <x:v>0</x:v>
      </x:c>
      <x:c r="G136" t="str">
        <x:v>Within Project</x:v>
      </x:c>
      <x:c r="H136" t="str">
        <x:v>Reconstructed from approved narrative/logic</x:v>
      </x:c>
    </x:row>
    <x:row r="137" ht="21" customHeight="1">
      <x:c r="A137" t="str">
        <x:v>R0148</x:v>
      </x:c>
      <x:c r="B137" t="str">
        <x:v>P04</x:v>
      </x:c>
      <x:c r="C137" t="str">
        <x:v>P04-A16</x:v>
      </x:c>
      <x:c r="D137" t="str">
        <x:v>P04-M3</x:v>
      </x:c>
      <x:c r="E137" t="str">
        <x:v>FS</x:v>
      </x:c>
      <x:c r="F137" t="n">
        <x:v>0</x:v>
      </x:c>
      <x:c r="G137" t="str">
        <x:v>Within Project</x:v>
      </x:c>
      <x:c r="H137" t="str">
        <x:v>Reconstructed from approved narrative/logic</x:v>
      </x:c>
    </x:row>
    <x:row r="138" ht="21" customHeight="1">
      <x:c r="A138" t="str">
        <x:v>R0149</x:v>
      </x:c>
      <x:c r="B138" t="str">
        <x:v>P04</x:v>
      </x:c>
      <x:c r="C138" t="str">
        <x:v>P04-A16</x:v>
      </x:c>
      <x:c r="D138" t="str">
        <x:v>P04-A17</x:v>
      </x:c>
      <x:c r="E138" t="str">
        <x:v>FS</x:v>
      </x:c>
      <x:c r="F138" t="n">
        <x:v>0</x:v>
      </x:c>
      <x:c r="G138" t="str">
        <x:v>Within Project</x:v>
      </x:c>
      <x:c r="H138" t="str">
        <x:v>Reconstructed from approved narrative/logic</x:v>
      </x:c>
    </x:row>
    <x:row r="139" ht="21" customHeight="1">
      <x:c r="A139" t="str">
        <x:v>R0150</x:v>
      </x:c>
      <x:c r="B139" t="str">
        <x:v>P04</x:v>
      </x:c>
      <x:c r="C139" t="str">
        <x:v>P04-A17</x:v>
      </x:c>
      <x:c r="D139" t="str">
        <x:v>P04-A18</x:v>
      </x:c>
      <x:c r="E139" t="str">
        <x:v>SS</x:v>
      </x:c>
      <x:c r="F139" t="n">
        <x:v>5</x:v>
      </x:c>
      <x:c r="G139" t="str">
        <x:v>Within Project</x:v>
      </x:c>
      <x:c r="H139" t="str">
        <x:v>Recovered by reconciliation to approved M3/M4 dates and published closeout durations</x:v>
      </x:c>
    </x:row>
    <x:row r="140" ht="21" customHeight="1">
      <x:c r="A140" t="str">
        <x:v>R0151</x:v>
      </x:c>
      <x:c r="B140" t="str">
        <x:v>P04</x:v>
      </x:c>
      <x:c r="C140" t="str">
        <x:v>P04-A16</x:v>
      </x:c>
      <x:c r="D140" t="str">
        <x:v>P04-A18</x:v>
      </x:c>
      <x:c r="E140" t="str">
        <x:v>FF</x:v>
      </x:c>
      <x:c r="F140" t="n">
        <x:v>0</x:v>
      </x:c>
      <x:c r="G140" t="str">
        <x:v>Within Project</x:v>
      </x:c>
      <x:c r="H140" t="str">
        <x:v>Reconstructed from approved narrative/logic</x:v>
      </x:c>
    </x:row>
    <x:row r="141" ht="21" customHeight="1">
      <x:c r="A141" t="str">
        <x:v>R0152</x:v>
      </x:c>
      <x:c r="B141" t="str">
        <x:v>P04</x:v>
      </x:c>
      <x:c r="C141" t="str">
        <x:v>P04-A18</x:v>
      </x:c>
      <x:c r="D141" t="str">
        <x:v>P04-M4</x:v>
      </x:c>
      <x:c r="E141" t="str">
        <x:v>FS</x:v>
      </x:c>
      <x:c r="F141" t="n">
        <x:v>0</x:v>
      </x:c>
      <x:c r="G141" t="str">
        <x:v>Within Project</x:v>
      </x:c>
      <x:c r="H141" t="str">
        <x:v>Reconstructed from approved narrative/logic</x:v>
      </x:c>
    </x:row>
    <x:row r="142" ht="21" customHeight="1">
      <x:c r="A142" t="str">
        <x:v>R0153</x:v>
      </x:c>
      <x:c r="B142" t="str">
        <x:v>P05</x:v>
      </x:c>
      <x:c r="C142" t="str">
        <x:v>P05-A1</x:v>
      </x:c>
      <x:c r="D142" t="str">
        <x:v>P05-A2</x:v>
      </x:c>
      <x:c r="E142" t="str">
        <x:v>FS</x:v>
      </x:c>
      <x:c r="F142" t="n">
        <x:v>0</x:v>
      </x:c>
      <x:c r="G142" t="str">
        <x:v>Within Project</x:v>
      </x:c>
      <x:c r="H142" t="str">
        <x:v>Reconstructed from approved narrative/logic</x:v>
      </x:c>
    </x:row>
    <x:row r="143" ht="21" customHeight="1">
      <x:c r="A143" t="str">
        <x:v>R0154</x:v>
      </x:c>
      <x:c r="B143" t="str">
        <x:v>P05</x:v>
      </x:c>
      <x:c r="C143" t="str">
        <x:v>P05-A2</x:v>
      </x:c>
      <x:c r="D143" t="str">
        <x:v>P05-A3</x:v>
      </x:c>
      <x:c r="E143" t="str">
        <x:v>FS</x:v>
      </x:c>
      <x:c r="F143" t="n">
        <x:v>0</x:v>
      </x:c>
      <x:c r="G143" t="str">
        <x:v>Within Project</x:v>
      </x:c>
      <x:c r="H143" t="str">
        <x:v>Reconstructed from approved narrative/logic</x:v>
      </x:c>
    </x:row>
    <x:row r="144" ht="21" customHeight="1">
      <x:c r="A144" t="str">
        <x:v>R0155</x:v>
      </x:c>
      <x:c r="B144" t="str">
        <x:v>P05</x:v>
      </x:c>
      <x:c r="C144" t="str">
        <x:v>P05-A3</x:v>
      </x:c>
      <x:c r="D144" t="str">
        <x:v>P05-A4</x:v>
      </x:c>
      <x:c r="E144" t="str">
        <x:v>FS</x:v>
      </x:c>
      <x:c r="F144" t="n">
        <x:v>5</x:v>
      </x:c>
      <x:c r="G144" t="str">
        <x:v>Within Project</x:v>
      </x:c>
      <x:c r="H144" t="str">
        <x:v>Reconstructed from approved narrative/logic</x:v>
      </x:c>
    </x:row>
    <x:row r="145" ht="21" customHeight="1">
      <x:c r="A145" t="str">
        <x:v>R0156</x:v>
      </x:c>
      <x:c r="B145" t="str">
        <x:v>P05</x:v>
      </x:c>
      <x:c r="C145" t="str">
        <x:v>P05-A4</x:v>
      </x:c>
      <x:c r="D145" t="str">
        <x:v>P05-M1</x:v>
      </x:c>
      <x:c r="E145" t="str">
        <x:v>FS</x:v>
      </x:c>
      <x:c r="F145" t="n">
        <x:v>0</x:v>
      </x:c>
      <x:c r="G145" t="str">
        <x:v>Within Project</x:v>
      </x:c>
      <x:c r="H145" t="str">
        <x:v>Reconstructed from approved narrative/logic</x:v>
      </x:c>
    </x:row>
    <x:row r="146" ht="21" customHeight="1">
      <x:c r="A146" t="str">
        <x:v>R0157</x:v>
      </x:c>
      <x:c r="B146" t="str">
        <x:v>P05</x:v>
      </x:c>
      <x:c r="C146" t="str">
        <x:v>P05-A4</x:v>
      </x:c>
      <x:c r="D146" t="str">
        <x:v>P05-A4b</x:v>
      </x:c>
      <x:c r="E146" t="str">
        <x:v>FS</x:v>
      </x:c>
      <x:c r="F146" t="n">
        <x:v>0</x:v>
      </x:c>
      <x:c r="G146" t="str">
        <x:v>Within Project</x:v>
      </x:c>
      <x:c r="H146" t="str">
        <x:v>Reconstructed from approved narrative/logic</x:v>
      </x:c>
    </x:row>
    <x:row r="147" ht="21" customHeight="1">
      <x:c r="A147" t="str">
        <x:v>R0158</x:v>
      </x:c>
      <x:c r="B147" t="str">
        <x:v>P05</x:v>
      </x:c>
      <x:c r="C147" t="str">
        <x:v>P05-A4</x:v>
      </x:c>
      <x:c r="D147" t="str">
        <x:v>P05-A5</x:v>
      </x:c>
      <x:c r="E147" t="str">
        <x:v>SS</x:v>
      </x:c>
      <x:c r="F147" t="n">
        <x:v>10</x:v>
      </x:c>
      <x:c r="G147" t="str">
        <x:v>Within Project</x:v>
      </x:c>
      <x:c r="H147" t="str">
        <x:v>Reconstructed from approved narrative/logic</x:v>
      </x:c>
    </x:row>
    <x:row r="148" ht="21" customHeight="1">
      <x:c r="A148" t="str">
        <x:v>R0159</x:v>
      </x:c>
      <x:c r="B148" t="str">
        <x:v>P05</x:v>
      </x:c>
      <x:c r="C148" t="str">
        <x:v>P05-A5</x:v>
      </x:c>
      <x:c r="D148" t="str">
        <x:v>P05-A5b</x:v>
      </x:c>
      <x:c r="E148" t="str">
        <x:v>FS</x:v>
      </x:c>
      <x:c r="F148" t="n">
        <x:v>0</x:v>
      </x:c>
      <x:c r="G148" t="str">
        <x:v>Within Project</x:v>
      </x:c>
      <x:c r="H148" t="str">
        <x:v>Reconstructed from approved narrative/logic</x:v>
      </x:c>
    </x:row>
    <x:row r="149" ht="21" customHeight="1">
      <x:c r="A149" t="str">
        <x:v>R0160</x:v>
      </x:c>
      <x:c r="B149" t="str">
        <x:v>P05</x:v>
      </x:c>
      <x:c r="C149" t="str">
        <x:v>P05-A5b</x:v>
      </x:c>
      <x:c r="D149" t="str">
        <x:v>P05-A5c</x:v>
      </x:c>
      <x:c r="E149" t="str">
        <x:v>FS</x:v>
      </x:c>
      <x:c r="F149" t="n">
        <x:v>0</x:v>
      </x:c>
      <x:c r="G149" t="str">
        <x:v>Within Project</x:v>
      </x:c>
      <x:c r="H149" t="str">
        <x:v>Reconstructed from approved narrative/logic</x:v>
      </x:c>
    </x:row>
    <x:row r="150" ht="21" customHeight="1">
      <x:c r="A150" t="str">
        <x:v>R0161</x:v>
      </x:c>
      <x:c r="B150" t="str">
        <x:v>P05</x:v>
      </x:c>
      <x:c r="C150" t="str">
        <x:v>P05-A5c</x:v>
      </x:c>
      <x:c r="D150" t="str">
        <x:v>P05-M2</x:v>
      </x:c>
      <x:c r="E150" t="str">
        <x:v>FS</x:v>
      </x:c>
      <x:c r="F150" t="n">
        <x:v>5</x:v>
      </x:c>
      <x:c r="G150" t="str">
        <x:v>Within Project</x:v>
      </x:c>
      <x:c r="H150" t="str">
        <x:v>Reconstructed from approved narrative/logic | USER-APPROVED SYNTHETIC POST-GOVERNING-APPROVAL NTP RELEASE HOLD: 5 business days (not recovered original)</x:v>
      </x:c>
    </x:row>
    <x:row r="151" ht="21" customHeight="1">
      <x:c r="A151" t="str">
        <x:v>R0162</x:v>
      </x:c>
      <x:c r="B151" t="str">
        <x:v>P05</x:v>
      </x:c>
      <x:c r="C151" t="str">
        <x:v>P05-A4b</x:v>
      </x:c>
      <x:c r="D151" t="str">
        <x:v>P05-M2</x:v>
      </x:c>
      <x:c r="E151" t="str">
        <x:v>FS</x:v>
      </x:c>
      <x:c r="F151" t="n">
        <x:v>0</x:v>
      </x:c>
      <x:c r="G151" t="str">
        <x:v>Within Project</x:v>
      </x:c>
      <x:c r="H151" t="str">
        <x:v>Reconstructed from approved narrative/logic</x:v>
      </x:c>
    </x:row>
    <x:row r="152" ht="21" customHeight="1">
      <x:c r="A152" t="str">
        <x:v>R0163</x:v>
      </x:c>
      <x:c r="B152" t="str">
        <x:v>P05</x:v>
      </x:c>
      <x:c r="C152" t="str">
        <x:v>P05-M2</x:v>
      </x:c>
      <x:c r="D152" t="str">
        <x:v>P05-A6</x:v>
      </x:c>
      <x:c r="E152" t="str">
        <x:v>FS</x:v>
      </x:c>
      <x:c r="F152" t="n">
        <x:v>0</x:v>
      </x:c>
      <x:c r="G152" t="str">
        <x:v>Within Project</x:v>
      </x:c>
      <x:c r="H152" t="str">
        <x:v>Reconstructed from approved narrative/logic</x:v>
      </x:c>
    </x:row>
    <x:row r="153" ht="21" customHeight="1">
      <x:c r="A153" t="str">
        <x:v>R0164</x:v>
      </x:c>
      <x:c r="B153" t="str">
        <x:v>P05</x:v>
      </x:c>
      <x:c r="C153" t="str">
        <x:v>P05-M2</x:v>
      </x:c>
      <x:c r="D153" t="str">
        <x:v>P05-A7</x:v>
      </x:c>
      <x:c r="E153" t="str">
        <x:v>FS</x:v>
      </x:c>
      <x:c r="F153" t="n">
        <x:v>0</x:v>
      </x:c>
      <x:c r="G153" t="str">
        <x:v>Within Project</x:v>
      </x:c>
      <x:c r="H153" t="str">
        <x:v>Reconstructed from approved narrative/logic</x:v>
      </x:c>
    </x:row>
    <x:row r="154" ht="21" customHeight="1">
      <x:c r="A154" t="str">
        <x:v>R0165</x:v>
      </x:c>
      <x:c r="B154" t="str">
        <x:v>P05</x:v>
      </x:c>
      <x:c r="C154" t="str">
        <x:v>P05-A7</x:v>
      </x:c>
      <x:c r="D154" t="str">
        <x:v>P05-A8</x:v>
      </x:c>
      <x:c r="E154" t="str">
        <x:v>SS</x:v>
      </x:c>
      <x:c r="F154" t="n">
        <x:v>15</x:v>
      </x:c>
      <x:c r="G154" t="str">
        <x:v>Within Project</x:v>
      </x:c>
      <x:c r="H154" t="str">
        <x:v>Reconstructed from approved narrative/logic</x:v>
      </x:c>
    </x:row>
    <x:row r="155" ht="21" customHeight="1">
      <x:c r="A155" t="str">
        <x:v>R0166</x:v>
      </x:c>
      <x:c r="B155" t="str">
        <x:v>P05</x:v>
      </x:c>
      <x:c r="C155" t="str">
        <x:v>P05-A7</x:v>
      </x:c>
      <x:c r="D155" t="str">
        <x:v>P05-A9</x:v>
      </x:c>
      <x:c r="E155" t="str">
        <x:v>SS</x:v>
      </x:c>
      <x:c r="F155" t="n">
        <x:v>10</x:v>
      </x:c>
      <x:c r="G155" t="str">
        <x:v>Within Project</x:v>
      </x:c>
      <x:c r="H155" t="str">
        <x:v>Recovered by reconciliation to approved P05 field milestone dates</x:v>
      </x:c>
    </x:row>
    <x:row r="156" ht="21" customHeight="1">
      <x:c r="A156" t="str">
        <x:v>R0167</x:v>
      </x:c>
      <x:c r="B156" t="str">
        <x:v>P05</x:v>
      </x:c>
      <x:c r="C156" t="str">
        <x:v>P05-M2</x:v>
      </x:c>
      <x:c r="D156" t="str">
        <x:v>P05-A10</x:v>
      </x:c>
      <x:c r="E156" t="str">
        <x:v>FS</x:v>
      </x:c>
      <x:c r="F156" t="n">
        <x:v>0</x:v>
      </x:c>
      <x:c r="G156" t="str">
        <x:v>Within Project</x:v>
      </x:c>
      <x:c r="H156" t="str">
        <x:v>Reconstructed from approved narrative/logic</x:v>
      </x:c>
    </x:row>
    <x:row r="157" ht="21" customHeight="1">
      <x:c r="A157" t="str">
        <x:v>R0168</x:v>
      </x:c>
      <x:c r="B157" t="str">
        <x:v>P05</x:v>
      </x:c>
      <x:c r="C157" t="str">
        <x:v>P05-M2</x:v>
      </x:c>
      <x:c r="D157" t="str">
        <x:v>P05-A11</x:v>
      </x:c>
      <x:c r="E157" t="str">
        <x:v>FS</x:v>
      </x:c>
      <x:c r="F157" t="n">
        <x:v>0</x:v>
      </x:c>
      <x:c r="G157" t="str">
        <x:v>Within Project</x:v>
      </x:c>
      <x:c r="H157" t="str">
        <x:v>Reconstructed from approved narrative/logic</x:v>
      </x:c>
    </x:row>
    <x:row r="158" ht="21" customHeight="1">
      <x:c r="A158" t="str">
        <x:v>R0169</x:v>
      </x:c>
      <x:c r="B158" t="str">
        <x:v>P05</x:v>
      </x:c>
      <x:c r="C158" t="str">
        <x:v>P05-A6</x:v>
      </x:c>
      <x:c r="D158" t="str">
        <x:v>P05-A12a</x:v>
      </x:c>
      <x:c r="E158" t="str">
        <x:v>FS</x:v>
      </x:c>
      <x:c r="F158" t="n">
        <x:v>0</x:v>
      </x:c>
      <x:c r="G158" t="str">
        <x:v>Within Project</x:v>
      </x:c>
      <x:c r="H158" t="str">
        <x:v>Reconstructed from approved narrative/logic</x:v>
      </x:c>
    </x:row>
    <x:row r="159" ht="21" customHeight="1">
      <x:c r="A159" t="str">
        <x:v>R0170</x:v>
      </x:c>
      <x:c r="B159" t="str">
        <x:v>P05</x:v>
      </x:c>
      <x:c r="C159" t="str">
        <x:v>P05-A9</x:v>
      </x:c>
      <x:c r="D159" t="str">
        <x:v>P05-A12a</x:v>
      </x:c>
      <x:c r="E159" t="str">
        <x:v>FS</x:v>
      </x:c>
      <x:c r="F159" t="n">
        <x:v>0</x:v>
      </x:c>
      <x:c r="G159" t="str">
        <x:v>Within Project</x:v>
      </x:c>
      <x:c r="H159" t="str">
        <x:v>Reconstructed from approved narrative/logic</x:v>
      </x:c>
    </x:row>
    <x:row r="160" ht="21" customHeight="1">
      <x:c r="A160" t="str">
        <x:v>R0171</x:v>
      </x:c>
      <x:c r="B160" t="str">
        <x:v>P05</x:v>
      </x:c>
      <x:c r="C160" t="str">
        <x:v>P05-A10</x:v>
      </x:c>
      <x:c r="D160" t="str">
        <x:v>P05-A12a</x:v>
      </x:c>
      <x:c r="E160" t="str">
        <x:v>FS</x:v>
      </x:c>
      <x:c r="F160" t="n">
        <x:v>0</x:v>
      </x:c>
      <x:c r="G160" t="str">
        <x:v>Within Project</x:v>
      </x:c>
      <x:c r="H160" t="str">
        <x:v>Reconstructed from approved narrative/logic</x:v>
      </x:c>
    </x:row>
    <x:row r="161" ht="21" customHeight="1">
      <x:c r="A161" t="str">
        <x:v>R0172</x:v>
      </x:c>
      <x:c r="B161" t="str">
        <x:v>P05</x:v>
      </x:c>
      <x:c r="C161" t="str">
        <x:v>P05-A11</x:v>
      </x:c>
      <x:c r="D161" t="str">
        <x:v>P05-A12a</x:v>
      </x:c>
      <x:c r="E161" t="str">
        <x:v>FS</x:v>
      </x:c>
      <x:c r="F161" t="n">
        <x:v>0</x:v>
      </x:c>
      <x:c r="G161" t="str">
        <x:v>Within Project</x:v>
      </x:c>
      <x:c r="H161" t="str">
        <x:v>Reconstructed from approved narrative/logic</x:v>
      </x:c>
    </x:row>
    <x:row r="162" ht="21" customHeight="1">
      <x:c r="A162" t="str">
        <x:v>R0173</x:v>
      </x:c>
      <x:c r="B162" t="str">
        <x:v>P05</x:v>
      </x:c>
      <x:c r="C162" t="str">
        <x:v>P05-A12a</x:v>
      </x:c>
      <x:c r="D162" t="str">
        <x:v>P05-A13a</x:v>
      </x:c>
      <x:c r="E162" t="str">
        <x:v>SS</x:v>
      </x:c>
      <x:c r="F162" t="n">
        <x:v>20</x:v>
      </x:c>
      <x:c r="G162" t="str">
        <x:v>Within Project</x:v>
      </x:c>
      <x:c r="H162" t="str">
        <x:v>Reconstructed from approved narrative/logic</x:v>
      </x:c>
    </x:row>
    <x:row r="163" ht="21" customHeight="1">
      <x:c r="A163" t="str">
        <x:v>R0174</x:v>
      </x:c>
      <x:c r="B163" t="str">
        <x:v>P05</x:v>
      </x:c>
      <x:c r="C163" t="str">
        <x:v>P05-A13a</x:v>
      </x:c>
      <x:c r="D163" t="str">
        <x:v>P05-A14a</x:v>
      </x:c>
      <x:c r="E163" t="str">
        <x:v>SS</x:v>
      </x:c>
      <x:c r="F163" t="n">
        <x:v>20</x:v>
      </x:c>
      <x:c r="G163" t="str">
        <x:v>Within Project</x:v>
      </x:c>
      <x:c r="H163" t="str">
        <x:v>Reconstructed from approved narrative/logic</x:v>
      </x:c>
    </x:row>
    <x:row r="164" ht="21" customHeight="1">
      <x:c r="A164" t="str">
        <x:v>R0175</x:v>
      </x:c>
      <x:c r="B164" t="str">
        <x:v>P05</x:v>
      </x:c>
      <x:c r="C164" t="str">
        <x:v>P05-A14a</x:v>
      </x:c>
      <x:c r="D164" t="str">
        <x:v>P05-A15a</x:v>
      </x:c>
      <x:c r="E164" t="str">
        <x:v>SS</x:v>
      </x:c>
      <x:c r="F164" t="n">
        <x:v>20</x:v>
      </x:c>
      <x:c r="G164" t="str">
        <x:v>Within Project</x:v>
      </x:c>
      <x:c r="H164" t="str">
        <x:v>Reconstructed from approved narrative/logic</x:v>
      </x:c>
    </x:row>
    <x:row r="165" ht="21" customHeight="1">
      <x:c r="A165" t="str">
        <x:v>R0176</x:v>
      </x:c>
      <x:c r="B165" t="str">
        <x:v>P05</x:v>
      </x:c>
      <x:c r="C165" t="str">
        <x:v>P05-A12a</x:v>
      </x:c>
      <x:c r="D165" t="str">
        <x:v>P05-AFIRST</x:v>
      </x:c>
      <x:c r="E165" t="str">
        <x:v>SS</x:v>
      </x:c>
      <x:c r="F165" t="n">
        <x:v>0</x:v>
      </x:c>
      <x:c r="G165" t="str">
        <x:v>Within Project</x:v>
      </x:c>
      <x:c r="H165" t="str">
        <x:v>Reconstructed from approved narrative/logic</x:v>
      </x:c>
    </x:row>
    <x:row r="166" ht="21" customHeight="1">
      <x:c r="A166" t="str">
        <x:v>R0177</x:v>
      </x:c>
      <x:c r="B166" t="str">
        <x:v>P05</x:v>
      </x:c>
      <x:c r="C166" t="str">
        <x:v>P05-AFIRST</x:v>
      </x:c>
      <x:c r="D166" t="str">
        <x:v>P05-MFIRST</x:v>
      </x:c>
      <x:c r="E166" t="str">
        <x:v>FS</x:v>
      </x:c>
      <x:c r="F166" t="n">
        <x:v>0</x:v>
      </x:c>
      <x:c r="G166" t="str">
        <x:v>Within Project</x:v>
      </x:c>
      <x:c r="H166" t="str">
        <x:v>Reconstructed from approved narrative/logic</x:v>
      </x:c>
    </x:row>
    <x:row r="167" ht="21" customHeight="1">
      <x:c r="A167" t="str">
        <x:v>R0178</x:v>
      </x:c>
      <x:c r="B167" t="str">
        <x:v>P05</x:v>
      </x:c>
      <x:c r="C167" t="str">
        <x:v>P05-A12a</x:v>
      </x:c>
      <x:c r="D167" t="str">
        <x:v>P05-A12b</x:v>
      </x:c>
      <x:c r="E167" t="str">
        <x:v>SS</x:v>
      </x:c>
      <x:c r="F167" t="n">
        <x:v>15</x:v>
      </x:c>
      <x:c r="G167" t="str">
        <x:v>Within Project</x:v>
      </x:c>
      <x:c r="H167" t="str">
        <x:v>Reconstructed from approved narrative/logic</x:v>
      </x:c>
    </x:row>
    <x:row r="168" ht="21" customHeight="1">
      <x:c r="A168" t="str">
        <x:v>R0179</x:v>
      </x:c>
      <x:c r="B168" t="str">
        <x:v>P05</x:v>
      </x:c>
      <x:c r="C168" t="str">
        <x:v>P05-A12b</x:v>
      </x:c>
      <x:c r="D168" t="str">
        <x:v>P05-A12c</x:v>
      </x:c>
      <x:c r="E168" t="str">
        <x:v>FS</x:v>
      </x:c>
      <x:c r="F168" t="n">
        <x:v>0</x:v>
      </x:c>
      <x:c r="G168" t="str">
        <x:v>Within Project</x:v>
      </x:c>
      <x:c r="H168" t="str">
        <x:v>Reconstructed from approved narrative/logic</x:v>
      </x:c>
    </x:row>
    <x:row r="169" ht="21" customHeight="1">
      <x:c r="A169" t="str">
        <x:v>R0180</x:v>
      </x:c>
      <x:c r="B169" t="str">
        <x:v>P05</x:v>
      </x:c>
      <x:c r="C169" t="str">
        <x:v>P05-A13a</x:v>
      </x:c>
      <x:c r="D169" t="str">
        <x:v>P05-A13b</x:v>
      </x:c>
      <x:c r="E169" t="str">
        <x:v>SS</x:v>
      </x:c>
      <x:c r="F169" t="n">
        <x:v>15</x:v>
      </x:c>
      <x:c r="G169" t="str">
        <x:v>Within Project</x:v>
      </x:c>
      <x:c r="H169" t="str">
        <x:v>Reconstructed from approved narrative/logic</x:v>
      </x:c>
    </x:row>
    <x:row r="170" ht="21" customHeight="1">
      <x:c r="A170" t="str">
        <x:v>R0181</x:v>
      </x:c>
      <x:c r="B170" t="str">
        <x:v>P05</x:v>
      </x:c>
      <x:c r="C170" t="str">
        <x:v>P05-A13b</x:v>
      </x:c>
      <x:c r="D170" t="str">
        <x:v>P05-A13c</x:v>
      </x:c>
      <x:c r="E170" t="str">
        <x:v>FS</x:v>
      </x:c>
      <x:c r="F170" t="n">
        <x:v>0</x:v>
      </x:c>
      <x:c r="G170" t="str">
        <x:v>Within Project</x:v>
      </x:c>
      <x:c r="H170" t="str">
        <x:v>Reconstructed from approved narrative/logic</x:v>
      </x:c>
    </x:row>
    <x:row r="171" ht="21" customHeight="1">
      <x:c r="A171" t="str">
        <x:v>R0182</x:v>
      </x:c>
      <x:c r="B171" t="str">
        <x:v>P05</x:v>
      </x:c>
      <x:c r="C171" t="str">
        <x:v>P05-A14a</x:v>
      </x:c>
      <x:c r="D171" t="str">
        <x:v>P05-A14b</x:v>
      </x:c>
      <x:c r="E171" t="str">
        <x:v>SS</x:v>
      </x:c>
      <x:c r="F171" t="n">
        <x:v>15</x:v>
      </x:c>
      <x:c r="G171" t="str">
        <x:v>Within Project</x:v>
      </x:c>
      <x:c r="H171" t="str">
        <x:v>Reconstructed from approved narrative/logic</x:v>
      </x:c>
    </x:row>
    <x:row r="172" ht="21" customHeight="1">
      <x:c r="A172" t="str">
        <x:v>R0183</x:v>
      </x:c>
      <x:c r="B172" t="str">
        <x:v>P05</x:v>
      </x:c>
      <x:c r="C172" t="str">
        <x:v>P05-A14b</x:v>
      </x:c>
      <x:c r="D172" t="str">
        <x:v>P05-A14c</x:v>
      </x:c>
      <x:c r="E172" t="str">
        <x:v>FS</x:v>
      </x:c>
      <x:c r="F172" t="n">
        <x:v>0</x:v>
      </x:c>
      <x:c r="G172" t="str">
        <x:v>Within Project</x:v>
      </x:c>
      <x:c r="H172" t="str">
        <x:v>Reconstructed from approved narrative/logic</x:v>
      </x:c>
    </x:row>
    <x:row r="173" ht="21" customHeight="1">
      <x:c r="A173" t="str">
        <x:v>R0184</x:v>
      </x:c>
      <x:c r="B173" t="str">
        <x:v>P05</x:v>
      </x:c>
      <x:c r="C173" t="str">
        <x:v>P05-A15a</x:v>
      </x:c>
      <x:c r="D173" t="str">
        <x:v>P05-A15b</x:v>
      </x:c>
      <x:c r="E173" t="str">
        <x:v>SS</x:v>
      </x:c>
      <x:c r="F173" t="n">
        <x:v>15</x:v>
      </x:c>
      <x:c r="G173" t="str">
        <x:v>Within Project</x:v>
      </x:c>
      <x:c r="H173" t="str">
        <x:v>Reconstructed from approved narrative/logic</x:v>
      </x:c>
    </x:row>
    <x:row r="174" ht="21" customHeight="1">
      <x:c r="A174" t="str">
        <x:v>R0185</x:v>
      </x:c>
      <x:c r="B174" t="str">
        <x:v>P05</x:v>
      </x:c>
      <x:c r="C174" t="str">
        <x:v>P05-A15b</x:v>
      </x:c>
      <x:c r="D174" t="str">
        <x:v>P05-A15c</x:v>
      </x:c>
      <x:c r="E174" t="str">
        <x:v>FS</x:v>
      </x:c>
      <x:c r="F174" t="n">
        <x:v>0</x:v>
      </x:c>
      <x:c r="G174" t="str">
        <x:v>Within Project</x:v>
      </x:c>
      <x:c r="H174" t="str">
        <x:v>Reconstructed from approved narrative/logic</x:v>
      </x:c>
    </x:row>
    <x:row r="175" ht="21" customHeight="1">
      <x:c r="A175" t="str">
        <x:v>R0186</x:v>
      </x:c>
      <x:c r="B175" t="str">
        <x:v>P05</x:v>
      </x:c>
      <x:c r="C175" t="str">
        <x:v>P05-A12a</x:v>
      </x:c>
      <x:c r="D175" t="str">
        <x:v>P05-M25</x:v>
      </x:c>
      <x:c r="E175" t="str">
        <x:v>FS</x:v>
      </x:c>
      <x:c r="F175" t="n">
        <x:v>0</x:v>
      </x:c>
      <x:c r="G175" t="str">
        <x:v>Within Project</x:v>
      </x:c>
      <x:c r="H175" t="str">
        <x:v>Reconstructed from approved narrative/logic</x:v>
      </x:c>
    </x:row>
    <x:row r="176" ht="21" customHeight="1">
      <x:c r="A176" t="str">
        <x:v>R0187</x:v>
      </x:c>
      <x:c r="B176" t="str">
        <x:v>P05</x:v>
      </x:c>
      <x:c r="C176" t="str">
        <x:v>P05-A13a</x:v>
      </x:c>
      <x:c r="D176" t="str">
        <x:v>P05-M50</x:v>
      </x:c>
      <x:c r="E176" t="str">
        <x:v>FS</x:v>
      </x:c>
      <x:c r="F176" t="n">
        <x:v>0</x:v>
      </x:c>
      <x:c r="G176" t="str">
        <x:v>Within Project</x:v>
      </x:c>
      <x:c r="H176" t="str">
        <x:v>Reconstructed from approved narrative/logic</x:v>
      </x:c>
    </x:row>
    <x:row r="177" ht="21" customHeight="1">
      <x:c r="A177" t="str">
        <x:v>R0188</x:v>
      </x:c>
      <x:c r="B177" t="str">
        <x:v>P05</x:v>
      </x:c>
      <x:c r="C177" t="str">
        <x:v>P05-A14a</x:v>
      </x:c>
      <x:c r="D177" t="str">
        <x:v>P05-M75</x:v>
      </x:c>
      <x:c r="E177" t="str">
        <x:v>FS</x:v>
      </x:c>
      <x:c r="F177" t="n">
        <x:v>0</x:v>
      </x:c>
      <x:c r="G177" t="str">
        <x:v>Within Project</x:v>
      </x:c>
      <x:c r="H177" t="str">
        <x:v>Reconstructed from approved narrative/logic</x:v>
      </x:c>
    </x:row>
    <x:row r="178" ht="21" customHeight="1">
      <x:c r="A178" t="str">
        <x:v>R0189</x:v>
      </x:c>
      <x:c r="B178" t="str">
        <x:v>P05</x:v>
      </x:c>
      <x:c r="C178" t="str">
        <x:v>P05-A15a</x:v>
      </x:c>
      <x:c r="D178" t="str">
        <x:v>P05-MTARGET</x:v>
      </x:c>
      <x:c r="E178" t="str">
        <x:v>FS</x:v>
      </x:c>
      <x:c r="F178" t="n">
        <x:v>0</x:v>
      </x:c>
      <x:c r="G178" t="str">
        <x:v>Within Project</x:v>
      </x:c>
      <x:c r="H178" t="str">
        <x:v>Reconstructed from approved narrative/logic</x:v>
      </x:c>
    </x:row>
    <x:row r="179" ht="21" customHeight="1">
      <x:c r="A179" t="str">
        <x:v>R0190</x:v>
      </x:c>
      <x:c r="B179" t="str">
        <x:v>P05</x:v>
      </x:c>
      <x:c r="C179" t="str">
        <x:v>P05-A12c</x:v>
      </x:c>
      <x:c r="D179" t="str">
        <x:v>P05-A16</x:v>
      </x:c>
      <x:c r="E179" t="str">
        <x:v>FS</x:v>
      </x:c>
      <x:c r="F179" t="n">
        <x:v>0</x:v>
      </x:c>
      <x:c r="G179" t="str">
        <x:v>Within Project</x:v>
      </x:c>
      <x:c r="H179" t="str">
        <x:v>Reconstructed from approved narrative/logic</x:v>
      </x:c>
    </x:row>
    <x:row r="180" ht="21" customHeight="1">
      <x:c r="A180" t="str">
        <x:v>R0191</x:v>
      </x:c>
      <x:c r="B180" t="str">
        <x:v>P05</x:v>
      </x:c>
      <x:c r="C180" t="str">
        <x:v>P05-A13c</x:v>
      </x:c>
      <x:c r="D180" t="str">
        <x:v>P05-A16</x:v>
      </x:c>
      <x:c r="E180" t="str">
        <x:v>FS</x:v>
      </x:c>
      <x:c r="F180" t="n">
        <x:v>0</x:v>
      </x:c>
      <x:c r="G180" t="str">
        <x:v>Within Project</x:v>
      </x:c>
      <x:c r="H180" t="str">
        <x:v>Reconstructed from approved narrative/logic</x:v>
      </x:c>
    </x:row>
    <x:row r="181" ht="21" customHeight="1">
      <x:c r="A181" t="str">
        <x:v>R0192</x:v>
      </x:c>
      <x:c r="B181" t="str">
        <x:v>P05</x:v>
      </x:c>
      <x:c r="C181" t="str">
        <x:v>P05-A14c</x:v>
      </x:c>
      <x:c r="D181" t="str">
        <x:v>P05-A16</x:v>
      </x:c>
      <x:c r="E181" t="str">
        <x:v>FS</x:v>
      </x:c>
      <x:c r="F181" t="n">
        <x:v>0</x:v>
      </x:c>
      <x:c r="G181" t="str">
        <x:v>Within Project</x:v>
      </x:c>
      <x:c r="H181" t="str">
        <x:v>Reconstructed from approved narrative/logic</x:v>
      </x:c>
    </x:row>
    <x:row r="182" ht="21" customHeight="1">
      <x:c r="A182" t="str">
        <x:v>R0193</x:v>
      </x:c>
      <x:c r="B182" t="str">
        <x:v>P05</x:v>
      </x:c>
      <x:c r="C182" t="str">
        <x:v>P05-A15c</x:v>
      </x:c>
      <x:c r="D182" t="str">
        <x:v>P05-A16</x:v>
      </x:c>
      <x:c r="E182" t="str">
        <x:v>FS</x:v>
      </x:c>
      <x:c r="F182" t="n">
        <x:v>0</x:v>
      </x:c>
      <x:c r="G182" t="str">
        <x:v>Within Project</x:v>
      </x:c>
      <x:c r="H182" t="str">
        <x:v>Reconstructed from approved narrative/logic</x:v>
      </x:c>
    </x:row>
    <x:row r="183" ht="21" customHeight="1">
      <x:c r="A183" t="str">
        <x:v>R0194</x:v>
      </x:c>
      <x:c r="B183" t="str">
        <x:v>P05</x:v>
      </x:c>
      <x:c r="C183" t="str">
        <x:v>P05-A16</x:v>
      </x:c>
      <x:c r="D183" t="str">
        <x:v>P05-M3</x:v>
      </x:c>
      <x:c r="E183" t="str">
        <x:v>FS</x:v>
      </x:c>
      <x:c r="F183" t="n">
        <x:v>0</x:v>
      </x:c>
      <x:c r="G183" t="str">
        <x:v>Within Project</x:v>
      </x:c>
      <x:c r="H183" t="str">
        <x:v>Reconstructed from approved narrative/logic</x:v>
      </x:c>
    </x:row>
    <x:row r="184" ht="21" customHeight="1">
      <x:c r="A184" t="str">
        <x:v>R0195</x:v>
      </x:c>
      <x:c r="B184" t="str">
        <x:v>P05</x:v>
      </x:c>
      <x:c r="C184" t="str">
        <x:v>P05-A16</x:v>
      </x:c>
      <x:c r="D184" t="str">
        <x:v>P05-A17</x:v>
      </x:c>
      <x:c r="E184" t="str">
        <x:v>FS</x:v>
      </x:c>
      <x:c r="F184" t="n">
        <x:v>0</x:v>
      </x:c>
      <x:c r="G184" t="str">
        <x:v>Within Project</x:v>
      </x:c>
      <x:c r="H184" t="str">
        <x:v>Reconstructed from approved narrative/logic</x:v>
      </x:c>
    </x:row>
    <x:row r="185" ht="21" customHeight="1">
      <x:c r="A185" t="str">
        <x:v>R0196</x:v>
      </x:c>
      <x:c r="B185" t="str">
        <x:v>P05</x:v>
      </x:c>
      <x:c r="C185" t="str">
        <x:v>P05-A17</x:v>
      </x:c>
      <x:c r="D185" t="str">
        <x:v>P05-A18</x:v>
      </x:c>
      <x:c r="E185" t="str">
        <x:v>SS</x:v>
      </x:c>
      <x:c r="F185" t="n">
        <x:v>10</x:v>
      </x:c>
      <x:c r="G185" t="str">
        <x:v>Within Project</x:v>
      </x:c>
      <x:c r="H185" t="str">
        <x:v>Recovered by reconciliation to approved P05 M4 date and published closeout durations</x:v>
      </x:c>
    </x:row>
    <x:row r="186" ht="21" customHeight="1">
      <x:c r="A186" t="str">
        <x:v>R0197</x:v>
      </x:c>
      <x:c r="B186" t="str">
        <x:v>P05</x:v>
      </x:c>
      <x:c r="C186" t="str">
        <x:v>P05-A18</x:v>
      </x:c>
      <x:c r="D186" t="str">
        <x:v>P05-M4</x:v>
      </x:c>
      <x:c r="E186" t="str">
        <x:v>FS</x:v>
      </x:c>
      <x:c r="F186" t="n">
        <x:v>0</x:v>
      </x:c>
      <x:c r="G186" t="str">
        <x:v>Within Project</x:v>
      </x:c>
      <x:c r="H186" t="str">
        <x:v>Reconstructed from approved narrative/logic</x:v>
      </x:c>
    </x:row>
    <x:row r="187" ht="21" customHeight="1">
      <x:c r="A187" t="str">
        <x:v>R0198</x:v>
      </x:c>
      <x:c r="B187" t="str">
        <x:v>P06</x:v>
      </x:c>
      <x:c r="C187" t="str">
        <x:v>P06-A1</x:v>
      </x:c>
      <x:c r="D187" t="str">
        <x:v>P06-A2</x:v>
      </x:c>
      <x:c r="E187" t="str">
        <x:v>FS</x:v>
      </x:c>
      <x:c r="F187" t="n">
        <x:v>0</x:v>
      </x:c>
      <x:c r="G187" t="str">
        <x:v>Within Project</x:v>
      </x:c>
      <x:c r="H187" t="str">
        <x:v>Reconstructed from approved narrative/logic</x:v>
      </x:c>
    </x:row>
    <x:row r="188" ht="21" customHeight="1">
      <x:c r="A188" t="str">
        <x:v>R0199</x:v>
      </x:c>
      <x:c r="B188" t="str">
        <x:v>P06</x:v>
      </x:c>
      <x:c r="C188" t="str">
        <x:v>P06-A2</x:v>
      </x:c>
      <x:c r="D188" t="str">
        <x:v>P06-A3</x:v>
      </x:c>
      <x:c r="E188" t="str">
        <x:v>FS</x:v>
      </x:c>
      <x:c r="F188" t="n">
        <x:v>0</x:v>
      </x:c>
      <x:c r="G188" t="str">
        <x:v>Within Project</x:v>
      </x:c>
      <x:c r="H188" t="str">
        <x:v>Reconstructed from approved narrative/logic</x:v>
      </x:c>
    </x:row>
    <x:row r="189" ht="21" customHeight="1">
      <x:c r="A189" t="str">
        <x:v>R0200</x:v>
      </x:c>
      <x:c r="B189" t="str">
        <x:v>P06</x:v>
      </x:c>
      <x:c r="C189" t="str">
        <x:v>P06-A3</x:v>
      </x:c>
      <x:c r="D189" t="str">
        <x:v>P06-A4</x:v>
      </x:c>
      <x:c r="E189" t="str">
        <x:v>FS</x:v>
      </x:c>
      <x:c r="F189" t="n">
        <x:v>5</x:v>
      </x:c>
      <x:c r="G189" t="str">
        <x:v>Within Project</x:v>
      </x:c>
      <x:c r="H189" t="str">
        <x:v>Reconstructed from approved narrative/logic</x:v>
      </x:c>
    </x:row>
    <x:row r="190" ht="21" customHeight="1">
      <x:c r="A190" t="str">
        <x:v>R0201</x:v>
      </x:c>
      <x:c r="B190" t="str">
        <x:v>P06</x:v>
      </x:c>
      <x:c r="C190" t="str">
        <x:v>P06-A4</x:v>
      </x:c>
      <x:c r="D190" t="str">
        <x:v>P06-M1</x:v>
      </x:c>
      <x:c r="E190" t="str">
        <x:v>FS</x:v>
      </x:c>
      <x:c r="F190" t="n">
        <x:v>0</x:v>
      </x:c>
      <x:c r="G190" t="str">
        <x:v>Within Project</x:v>
      </x:c>
      <x:c r="H190" t="str">
        <x:v>Reconstructed from approved narrative/logic</x:v>
      </x:c>
    </x:row>
    <x:row r="191" ht="21" customHeight="1">
      <x:c r="A191" t="str">
        <x:v>R0202</x:v>
      </x:c>
      <x:c r="B191" t="str">
        <x:v>P06</x:v>
      </x:c>
      <x:c r="C191" t="str">
        <x:v>P06-A4</x:v>
      </x:c>
      <x:c r="D191" t="str">
        <x:v>P06-A4b</x:v>
      </x:c>
      <x:c r="E191" t="str">
        <x:v>FS</x:v>
      </x:c>
      <x:c r="F191" t="n">
        <x:v>0</x:v>
      </x:c>
      <x:c r="G191" t="str">
        <x:v>Within Project</x:v>
      </x:c>
      <x:c r="H191" t="str">
        <x:v>Reconstructed from approved narrative/logic</x:v>
      </x:c>
    </x:row>
    <x:row r="192" ht="21" customHeight="1">
      <x:c r="A192" t="str">
        <x:v>R0203</x:v>
      </x:c>
      <x:c r="B192" t="str">
        <x:v>P06</x:v>
      </x:c>
      <x:c r="C192" t="str">
        <x:v>P06-A4</x:v>
      </x:c>
      <x:c r="D192" t="str">
        <x:v>P06-A5</x:v>
      </x:c>
      <x:c r="E192" t="str">
        <x:v>SS</x:v>
      </x:c>
      <x:c r="F192" t="n">
        <x:v>10</x:v>
      </x:c>
      <x:c r="G192" t="str">
        <x:v>Within Project</x:v>
      </x:c>
      <x:c r="H192" t="str">
        <x:v>Reconstructed from approved narrative/logic</x:v>
      </x:c>
    </x:row>
    <x:row r="193" ht="21" customHeight="1">
      <x:c r="A193" t="str">
        <x:v>R0204</x:v>
      </x:c>
      <x:c r="B193" t="str">
        <x:v>P06</x:v>
      </x:c>
      <x:c r="C193" t="str">
        <x:v>P06-A5</x:v>
      </x:c>
      <x:c r="D193" t="str">
        <x:v>P06-A5b</x:v>
      </x:c>
      <x:c r="E193" t="str">
        <x:v>FS</x:v>
      </x:c>
      <x:c r="F193" t="n">
        <x:v>0</x:v>
      </x:c>
      <x:c r="G193" t="str">
        <x:v>Within Project</x:v>
      </x:c>
      <x:c r="H193" t="str">
        <x:v>Reconstructed from approved narrative/logic</x:v>
      </x:c>
    </x:row>
    <x:row r="194" ht="21" customHeight="1">
      <x:c r="A194" t="str">
        <x:v>R0205</x:v>
      </x:c>
      <x:c r="B194" t="str">
        <x:v>P06</x:v>
      </x:c>
      <x:c r="C194" t="str">
        <x:v>P06-A5b</x:v>
      </x:c>
      <x:c r="D194" t="str">
        <x:v>P06-A5c</x:v>
      </x:c>
      <x:c r="E194" t="str">
        <x:v>FS</x:v>
      </x:c>
      <x:c r="F194" t="n">
        <x:v>0</x:v>
      </x:c>
      <x:c r="G194" t="str">
        <x:v>Within Project</x:v>
      </x:c>
      <x:c r="H194" t="str">
        <x:v>Reconstructed from approved narrative/logic</x:v>
      </x:c>
    </x:row>
    <x:row r="195" ht="21" customHeight="1">
      <x:c r="A195" t="str">
        <x:v>R0206</x:v>
      </x:c>
      <x:c r="B195" t="str">
        <x:v>P06</x:v>
      </x:c>
      <x:c r="C195" t="str">
        <x:v>P06-A5c</x:v>
      </x:c>
      <x:c r="D195" t="str">
        <x:v>P06-M2</x:v>
      </x:c>
      <x:c r="E195" t="str">
        <x:v>FS</x:v>
      </x:c>
      <x:c r="F195" t="n">
        <x:v>0</x:v>
      </x:c>
      <x:c r="G195" t="str">
        <x:v>Within Project</x:v>
      </x:c>
      <x:c r="H195" t="str">
        <x:v>Reconstructed from approved narrative/logic</x:v>
      </x:c>
    </x:row>
    <x:row r="196" ht="21" customHeight="1">
      <x:c r="A196" t="str">
        <x:v>R0207</x:v>
      </x:c>
      <x:c r="B196" t="str">
        <x:v>P06</x:v>
      </x:c>
      <x:c r="C196" t="str">
        <x:v>P06-A4b</x:v>
      </x:c>
      <x:c r="D196" t="str">
        <x:v>P06-M2</x:v>
      </x:c>
      <x:c r="E196" t="str">
        <x:v>FS</x:v>
      </x:c>
      <x:c r="F196" t="n">
        <x:v>0</x:v>
      </x:c>
      <x:c r="G196" t="str">
        <x:v>Within Project</x:v>
      </x:c>
      <x:c r="H196" t="str">
        <x:v>Reconstructed from approved narrative/logic</x:v>
      </x:c>
    </x:row>
    <x:row r="197" ht="21" customHeight="1">
      <x:c r="A197" t="str">
        <x:v>R0208</x:v>
      </x:c>
      <x:c r="B197" t="str">
        <x:v>P06</x:v>
      </x:c>
      <x:c r="C197" t="str">
        <x:v>P06-M2</x:v>
      </x:c>
      <x:c r="D197" t="str">
        <x:v>P06-A6</x:v>
      </x:c>
      <x:c r="E197" t="str">
        <x:v>FS</x:v>
      </x:c>
      <x:c r="F197" t="n">
        <x:v>0</x:v>
      </x:c>
      <x:c r="G197" t="str">
        <x:v>Within Project</x:v>
      </x:c>
      <x:c r="H197" t="str">
        <x:v>Reconstructed from approved narrative/logic</x:v>
      </x:c>
    </x:row>
    <x:row r="198" ht="21" customHeight="1">
      <x:c r="A198" t="str">
        <x:v>R0209</x:v>
      </x:c>
      <x:c r="B198" t="str">
        <x:v>P06</x:v>
      </x:c>
      <x:c r="C198" t="str">
        <x:v>P06-M2</x:v>
      </x:c>
      <x:c r="D198" t="str">
        <x:v>P06-A7</x:v>
      </x:c>
      <x:c r="E198" t="str">
        <x:v>FS</x:v>
      </x:c>
      <x:c r="F198" t="n">
        <x:v>0</x:v>
      </x:c>
      <x:c r="G198" t="str">
        <x:v>Within Project</x:v>
      </x:c>
      <x:c r="H198" t="str">
        <x:v>Reconstructed from approved narrative/logic</x:v>
      </x:c>
    </x:row>
    <x:row r="199" ht="21" customHeight="1">
      <x:c r="A199" t="str">
        <x:v>R0210</x:v>
      </x:c>
      <x:c r="B199" t="str">
        <x:v>P06</x:v>
      </x:c>
      <x:c r="C199" t="str">
        <x:v>P06-M2</x:v>
      </x:c>
      <x:c r="D199" t="str">
        <x:v>P06-A8</x:v>
      </x:c>
      <x:c r="E199" t="str">
        <x:v>FS</x:v>
      </x:c>
      <x:c r="F199" t="n">
        <x:v>0</x:v>
      </x:c>
      <x:c r="G199" t="str">
        <x:v>Within Project</x:v>
      </x:c>
      <x:c r="H199" t="str">
        <x:v>Reconstructed from approved narrative/logic</x:v>
      </x:c>
    </x:row>
    <x:row r="200" ht="21" customHeight="1">
      <x:c r="A200" t="str">
        <x:v>R0211</x:v>
      </x:c>
      <x:c r="B200" t="str">
        <x:v>P06</x:v>
      </x:c>
      <x:c r="C200" t="str">
        <x:v>P06-M2</x:v>
      </x:c>
      <x:c r="D200" t="str">
        <x:v>P06-A10</x:v>
      </x:c>
      <x:c r="E200" t="str">
        <x:v>FS</x:v>
      </x:c>
      <x:c r="F200" t="n">
        <x:v>0</x:v>
      </x:c>
      <x:c r="G200" t="str">
        <x:v>Within Project</x:v>
      </x:c>
      <x:c r="H200" t="str">
        <x:v>Reconstructed from approved narrative/logic</x:v>
      </x:c>
    </x:row>
    <x:row r="201" ht="21" customHeight="1">
      <x:c r="A201" t="str">
        <x:v>R0212</x:v>
      </x:c>
      <x:c r="B201" t="str">
        <x:v>P06</x:v>
      </x:c>
      <x:c r="C201" t="str">
        <x:v>P06-M2</x:v>
      </x:c>
      <x:c r="D201" t="str">
        <x:v>P06-A11</x:v>
      </x:c>
      <x:c r="E201" t="str">
        <x:v>FS</x:v>
      </x:c>
      <x:c r="F201" t="n">
        <x:v>0</x:v>
      </x:c>
      <x:c r="G201" t="str">
        <x:v>Within Project</x:v>
      </x:c>
      <x:c r="H201" t="str">
        <x:v>Reconstructed from approved narrative/logic</x:v>
      </x:c>
    </x:row>
    <x:row r="202" ht="21" customHeight="1">
      <x:c r="A202" t="str">
        <x:v>R0213</x:v>
      </x:c>
      <x:c r="B202" t="str">
        <x:v>P06</x:v>
      </x:c>
      <x:c r="C202" t="str">
        <x:v>P06-A11</x:v>
      </x:c>
      <x:c r="D202" t="str">
        <x:v>P06-A12</x:v>
      </x:c>
      <x:c r="E202" t="str">
        <x:v>FS</x:v>
      </x:c>
      <x:c r="F202" t="n">
        <x:v>0</x:v>
      </x:c>
      <x:c r="G202" t="str">
        <x:v>Within Project</x:v>
      </x:c>
      <x:c r="H202" t="str">
        <x:v>Reconstructed from approved narrative/logic</x:v>
      </x:c>
    </x:row>
    <x:row r="203" ht="21" customHeight="1">
      <x:c r="A203" t="str">
        <x:v>R0214</x:v>
      </x:c>
      <x:c r="B203" t="str">
        <x:v>P06</x:v>
      </x:c>
      <x:c r="C203" t="str">
        <x:v>P06-A12</x:v>
      </x:c>
      <x:c r="D203" t="str">
        <x:v>P06-A13</x:v>
      </x:c>
      <x:c r="E203" t="str">
        <x:v>FS</x:v>
      </x:c>
      <x:c r="F203" t="n">
        <x:v>0</x:v>
      </x:c>
      <x:c r="G203" t="str">
        <x:v>Within Project</x:v>
      </x:c>
      <x:c r="H203" t="str">
        <x:v>Reconstructed from approved narrative/logic</x:v>
      </x:c>
    </x:row>
    <x:row r="204" ht="21" customHeight="1">
      <x:c r="A204" t="str">
        <x:v>R0215</x:v>
      </x:c>
      <x:c r="B204" t="str">
        <x:v>P06</x:v>
      </x:c>
      <x:c r="C204" t="str">
        <x:v>P06-A7</x:v>
      </x:c>
      <x:c r="D204" t="str">
        <x:v>P06-A9</x:v>
      </x:c>
      <x:c r="E204" t="str">
        <x:v>FS</x:v>
      </x:c>
      <x:c r="F204" t="n">
        <x:v>0</x:v>
      </x:c>
      <x:c r="G204" t="str">
        <x:v>Within Project</x:v>
      </x:c>
      <x:c r="H204" t="str">
        <x:v>Reconstructed from approved narrative/logic</x:v>
      </x:c>
    </x:row>
    <x:row r="205" ht="21" customHeight="1">
      <x:c r="A205" t="str">
        <x:v>R0216</x:v>
      </x:c>
      <x:c r="B205" t="str">
        <x:v>P06</x:v>
      </x:c>
      <x:c r="C205" t="str">
        <x:v>P06-A9</x:v>
      </x:c>
      <x:c r="D205" t="str">
        <x:v>P06-A14</x:v>
      </x:c>
      <x:c r="E205" t="str">
        <x:v>FS</x:v>
      </x:c>
      <x:c r="F205" t="n">
        <x:v>0</x:v>
      </x:c>
      <x:c r="G205" t="str">
        <x:v>Within Project</x:v>
      </x:c>
      <x:c r="H205" t="str">
        <x:v>Reconstructed from approved narrative/logic</x:v>
      </x:c>
    </x:row>
    <x:row r="206" ht="21" customHeight="1">
      <x:c r="A206" t="str">
        <x:v>R0217</x:v>
      </x:c>
      <x:c r="B206" t="str">
        <x:v>P06</x:v>
      </x:c>
      <x:c r="C206" t="str">
        <x:v>P06-A8</x:v>
      </x:c>
      <x:c r="D206" t="str">
        <x:v>P06-A14</x:v>
      </x:c>
      <x:c r="E206" t="str">
        <x:v>FS</x:v>
      </x:c>
      <x:c r="F206" t="n">
        <x:v>0</x:v>
      </x:c>
      <x:c r="G206" t="str">
        <x:v>Within Project</x:v>
      </x:c>
      <x:c r="H206" t="str">
        <x:v>Reconstructed from approved narrative/logic</x:v>
      </x:c>
    </x:row>
    <x:row r="207" ht="21" customHeight="1">
      <x:c r="A207" t="str">
        <x:v>R0218</x:v>
      </x:c>
      <x:c r="B207" t="str">
        <x:v>P06</x:v>
      </x:c>
      <x:c r="C207" t="str">
        <x:v>P06-M2</x:v>
      </x:c>
      <x:c r="D207" t="str">
        <x:v>P06-A15</x:v>
      </x:c>
      <x:c r="E207" t="str">
        <x:v>FS</x:v>
      </x:c>
      <x:c r="F207" t="n">
        <x:v>0</x:v>
      </x:c>
      <x:c r="G207" t="str">
        <x:v>Within Project</x:v>
      </x:c>
      <x:c r="H207" t="str">
        <x:v>Reconstructed from approved narrative/logic</x:v>
      </x:c>
    </x:row>
    <x:row r="208" ht="21" customHeight="1">
      <x:c r="A208" t="str">
        <x:v>R0219</x:v>
      </x:c>
      <x:c r="B208" t="str">
        <x:v>P06</x:v>
      </x:c>
      <x:c r="C208" t="str">
        <x:v>P06-A13</x:v>
      </x:c>
      <x:c r="D208" t="str">
        <x:v>P06-APILOTSTAGE</x:v>
      </x:c>
      <x:c r="E208" t="str">
        <x:v>FS</x:v>
      </x:c>
      <x:c r="F208" t="n">
        <x:v>0</x:v>
      </x:c>
      <x:c r="G208" t="str">
        <x:v>Within Project</x:v>
      </x:c>
      <x:c r="H208" t="str">
        <x:v>Reconstructed from approved narrative/logic</x:v>
      </x:c>
    </x:row>
    <x:row r="209" ht="21" customHeight="1">
      <x:c r="A209" t="str">
        <x:v>R0220</x:v>
      </x:c>
      <x:c r="B209" t="str">
        <x:v>P06</x:v>
      </x:c>
      <x:c r="C209" t="str">
        <x:v>P06-A14</x:v>
      </x:c>
      <x:c r="D209" t="str">
        <x:v>P06-A16</x:v>
      </x:c>
      <x:c r="E209" t="str">
        <x:v>FS</x:v>
      </x:c>
      <x:c r="F209" t="n">
        <x:v>0</x:v>
      </x:c>
      <x:c r="G209" t="str">
        <x:v>Within Project</x:v>
      </x:c>
      <x:c r="H209" t="str">
        <x:v>Reconstructed from approved narrative/logic</x:v>
      </x:c>
    </x:row>
    <x:row r="210" ht="21" customHeight="1">
      <x:c r="A210" t="str">
        <x:v>R0221</x:v>
      </x:c>
      <x:c r="B210" t="str">
        <x:v>P06</x:v>
      </x:c>
      <x:c r="C210" t="str">
        <x:v>P06-A15</x:v>
      </x:c>
      <x:c r="D210" t="str">
        <x:v>P06-A16</x:v>
      </x:c>
      <x:c r="E210" t="str">
        <x:v>FS</x:v>
      </x:c>
      <x:c r="F210" t="n">
        <x:v>0</x:v>
      </x:c>
      <x:c r="G210" t="str">
        <x:v>Within Project</x:v>
      </x:c>
      <x:c r="H210" t="str">
        <x:v>Reconstructed from approved narrative/logic</x:v>
      </x:c>
    </x:row>
    <x:row r="211" ht="21" customHeight="1">
      <x:c r="A211" t="str">
        <x:v>R0222</x:v>
      </x:c>
      <x:c r="B211" t="str">
        <x:v>P06</x:v>
      </x:c>
      <x:c r="C211" t="str">
        <x:v>P06-APILOTSTAGE</x:v>
      </x:c>
      <x:c r="D211" t="str">
        <x:v>P06-A16</x:v>
      </x:c>
      <x:c r="E211" t="str">
        <x:v>FS</x:v>
      </x:c>
      <x:c r="F211" t="n">
        <x:v>0</x:v>
      </x:c>
      <x:c r="G211" t="str">
        <x:v>Within Project</x:v>
      </x:c>
      <x:c r="H211" t="str">
        <x:v>Reconstructed from approved narrative/logic</x:v>
      </x:c>
    </x:row>
    <x:row r="212" ht="21" customHeight="1">
      <x:c r="A212" t="str">
        <x:v>R0223</x:v>
      </x:c>
      <x:c r="B212" t="str">
        <x:v>P06</x:v>
      </x:c>
      <x:c r="C212" t="str">
        <x:v>P06-A8</x:v>
      </x:c>
      <x:c r="D212" t="str">
        <x:v>P06-A16</x:v>
      </x:c>
      <x:c r="E212" t="str">
        <x:v>FS</x:v>
      </x:c>
      <x:c r="F212" t="n">
        <x:v>0</x:v>
      </x:c>
      <x:c r="G212" t="str">
        <x:v>Within Project</x:v>
      </x:c>
      <x:c r="H212" t="str">
        <x:v>Reconstructed from approved narrative/logic</x:v>
      </x:c>
    </x:row>
    <x:row r="213" ht="21" customHeight="1">
      <x:c r="A213" t="str">
        <x:v>R0224</x:v>
      </x:c>
      <x:c r="B213" t="str">
        <x:v>P06</x:v>
      </x:c>
      <x:c r="C213" t="str">
        <x:v>P06-A6</x:v>
      </x:c>
      <x:c r="D213" t="str">
        <x:v>P06-A16</x:v>
      </x:c>
      <x:c r="E213" t="str">
        <x:v>FS</x:v>
      </x:c>
      <x:c r="F213" t="n">
        <x:v>0</x:v>
      </x:c>
      <x:c r="G213" t="str">
        <x:v>Within Project</x:v>
      </x:c>
      <x:c r="H213" t="str">
        <x:v>Reconstructed from approved narrative/logic</x:v>
      </x:c>
    </x:row>
    <x:row r="214" ht="21" customHeight="1">
      <x:c r="A214" t="str">
        <x:v>R0225</x:v>
      </x:c>
      <x:c r="B214" t="str">
        <x:v>P06</x:v>
      </x:c>
      <x:c r="C214" t="str">
        <x:v>P06-A16</x:v>
      </x:c>
      <x:c r="D214" t="str">
        <x:v>P06-AFIRSTPILOT</x:v>
      </x:c>
      <x:c r="E214" t="str">
        <x:v>SS</x:v>
      </x:c>
      <x:c r="F214" t="n">
        <x:v>0</x:v>
      </x:c>
      <x:c r="G214" t="str">
        <x:v>Within Project</x:v>
      </x:c>
      <x:c r="H214" t="str">
        <x:v>Reconstructed from approved narrative/logic</x:v>
      </x:c>
    </x:row>
    <x:row r="215" ht="21" customHeight="1">
      <x:c r="A215" t="str">
        <x:v>R0226</x:v>
      </x:c>
      <x:c r="B215" t="str">
        <x:v>P06</x:v>
      </x:c>
      <x:c r="C215" t="str">
        <x:v>P06-A16</x:v>
      </x:c>
      <x:c r="D215" t="str">
        <x:v>P06-A17</x:v>
      </x:c>
      <x:c r="E215" t="str">
        <x:v>FS</x:v>
      </x:c>
      <x:c r="F215" t="n">
        <x:v>0</x:v>
      </x:c>
      <x:c r="G215" t="str">
        <x:v>Within Project</x:v>
      </x:c>
      <x:c r="H215" t="str">
        <x:v>Reconstructed from approved narrative/logic</x:v>
      </x:c>
    </x:row>
    <x:row r="216" ht="21" customHeight="1">
      <x:c r="A216" t="str">
        <x:v>R0227</x:v>
      </x:c>
      <x:c r="B216" t="str">
        <x:v>P06</x:v>
      </x:c>
      <x:c r="C216" t="str">
        <x:v>P06-A17</x:v>
      </x:c>
      <x:c r="D216" t="str">
        <x:v>P06-MPILOTDONE</x:v>
      </x:c>
      <x:c r="E216" t="str">
        <x:v>FS</x:v>
      </x:c>
      <x:c r="F216" t="n">
        <x:v>0</x:v>
      </x:c>
      <x:c r="G216" t="str">
        <x:v>Within Project</x:v>
      </x:c>
      <x:c r="H216" t="str">
        <x:v>Reconstructed from approved narrative/logic</x:v>
      </x:c>
    </x:row>
    <x:row r="217" ht="21" customHeight="1">
      <x:c r="A217" t="str">
        <x:v>R0228</x:v>
      </x:c>
      <x:c r="B217" t="str">
        <x:v>P06</x:v>
      </x:c>
      <x:c r="C217" t="str">
        <x:v>P06-A14</x:v>
      </x:c>
      <x:c r="D217" t="str">
        <x:v>P06-MSYSINT</x:v>
      </x:c>
      <x:c r="E217" t="str">
        <x:v>FS</x:v>
      </x:c>
      <x:c r="F217" t="n">
        <x:v>0</x:v>
      </x:c>
      <x:c r="G217" t="str">
        <x:v>Within Project</x:v>
      </x:c>
      <x:c r="H217" t="str">
        <x:v>Reconstructed from approved narrative/logic</x:v>
      </x:c>
    </x:row>
    <x:row r="218" ht="21" customHeight="1">
      <x:c r="A218" t="str">
        <x:v>R0229</x:v>
      </x:c>
      <x:c r="B218" t="str">
        <x:v>P06</x:v>
      </x:c>
      <x:c r="C218" t="str">
        <x:v>P06-A17</x:v>
      </x:c>
      <x:c r="D218" t="str">
        <x:v>P06-A18a</x:v>
      </x:c>
      <x:c r="E218" t="str">
        <x:v>FS</x:v>
      </x:c>
      <x:c r="F218" t="n">
        <x:v>0</x:v>
      </x:c>
      <x:c r="G218" t="str">
        <x:v>Within Project</x:v>
      </x:c>
      <x:c r="H218" t="str">
        <x:v>Reconstructed from approved narrative/logic</x:v>
      </x:c>
    </x:row>
    <x:row r="219" ht="21" customHeight="1">
      <x:c r="A219" t="str">
        <x:v>R0230</x:v>
      </x:c>
      <x:c r="B219" t="str">
        <x:v>P06</x:v>
      </x:c>
      <x:c r="C219" t="str">
        <x:v>P06-A17</x:v>
      </x:c>
      <x:c r="D219" t="str">
        <x:v>P06-A19a</x:v>
      </x:c>
      <x:c r="E219" t="str">
        <x:v>FS</x:v>
      </x:c>
      <x:c r="F219" t="n">
        <x:v>15</x:v>
      </x:c>
      <x:c r="G219" t="str">
        <x:v>Within Project</x:v>
      </x:c>
      <x:c r="H219" t="str">
        <x:v>Reconstructed from approved narrative/logic</x:v>
      </x:c>
    </x:row>
    <x:row r="220" ht="21" customHeight="1">
      <x:c r="A220" t="str">
        <x:v>R0231</x:v>
      </x:c>
      <x:c r="B220" t="str">
        <x:v>P06</x:v>
      </x:c>
      <x:c r="C220" t="str">
        <x:v>P06-A17</x:v>
      </x:c>
      <x:c r="D220" t="str">
        <x:v>P06-A20a</x:v>
      </x:c>
      <x:c r="E220" t="str">
        <x:v>FS</x:v>
      </x:c>
      <x:c r="F220" t="n">
        <x:v>30</x:v>
      </x:c>
      <x:c r="G220" t="str">
        <x:v>Within Project</x:v>
      </x:c>
      <x:c r="H220" t="str">
        <x:v>Reconstructed from approved narrative/logic</x:v>
      </x:c>
    </x:row>
    <x:row r="221" ht="21" customHeight="1">
      <x:c r="A221" t="str">
        <x:v>R0232</x:v>
      </x:c>
      <x:c r="B221" t="str">
        <x:v>P06</x:v>
      </x:c>
      <x:c r="C221" t="str">
        <x:v>P06-A17</x:v>
      </x:c>
      <x:c r="D221" t="str">
        <x:v>P06-A21a</x:v>
      </x:c>
      <x:c r="E221" t="str">
        <x:v>FS</x:v>
      </x:c>
      <x:c r="F221" t="n">
        <x:v>45</x:v>
      </x:c>
      <x:c r="G221" t="str">
        <x:v>Within Project</x:v>
      </x:c>
      <x:c r="H221" t="str">
        <x:v>Reconstructed from approved narrative/logic</x:v>
      </x:c>
    </x:row>
    <x:row r="222" ht="21" customHeight="1">
      <x:c r="A222" t="str">
        <x:v>R0233</x:v>
      </x:c>
      <x:c r="B222" t="str">
        <x:v>P06</x:v>
      </x:c>
      <x:c r="C222" t="str">
        <x:v>P06-A18a</x:v>
      </x:c>
      <x:c r="D222" t="str">
        <x:v>P06-A18b</x:v>
      </x:c>
      <x:c r="E222" t="str">
        <x:v>FS</x:v>
      </x:c>
      <x:c r="F222" t="n">
        <x:v>0</x:v>
      </x:c>
      <x:c r="G222" t="str">
        <x:v>Within Project</x:v>
      </x:c>
      <x:c r="H222" t="str">
        <x:v>Reconstructed from approved narrative/logic</x:v>
      </x:c>
    </x:row>
    <x:row r="223" ht="21" customHeight="1">
      <x:c r="A223" t="str">
        <x:v>R0234</x:v>
      </x:c>
      <x:c r="B223" t="str">
        <x:v>P06</x:v>
      </x:c>
      <x:c r="C223" t="str">
        <x:v>P06-A19a</x:v>
      </x:c>
      <x:c r="D223" t="str">
        <x:v>P06-A19b</x:v>
      </x:c>
      <x:c r="E223" t="str">
        <x:v>FS</x:v>
      </x:c>
      <x:c r="F223" t="n">
        <x:v>0</x:v>
      </x:c>
      <x:c r="G223" t="str">
        <x:v>Within Project</x:v>
      </x:c>
      <x:c r="H223" t="str">
        <x:v>Reconstructed from approved narrative/logic</x:v>
      </x:c>
    </x:row>
    <x:row r="224" ht="21" customHeight="1">
      <x:c r="A224" t="str">
        <x:v>R0235</x:v>
      </x:c>
      <x:c r="B224" t="str">
        <x:v>P06</x:v>
      </x:c>
      <x:c r="C224" t="str">
        <x:v>P06-A20a</x:v>
      </x:c>
      <x:c r="D224" t="str">
        <x:v>P06-A20b</x:v>
      </x:c>
      <x:c r="E224" t="str">
        <x:v>FS</x:v>
      </x:c>
      <x:c r="F224" t="n">
        <x:v>0</x:v>
      </x:c>
      <x:c r="G224" t="str">
        <x:v>Within Project</x:v>
      </x:c>
      <x:c r="H224" t="str">
        <x:v>Reconstructed from approved narrative/logic</x:v>
      </x:c>
    </x:row>
    <x:row r="225" ht="21" customHeight="1">
      <x:c r="A225" t="str">
        <x:v>R0236</x:v>
      </x:c>
      <x:c r="B225" t="str">
        <x:v>P06</x:v>
      </x:c>
      <x:c r="C225" t="str">
        <x:v>P06-A21a</x:v>
      </x:c>
      <x:c r="D225" t="str">
        <x:v>P06-A21b</x:v>
      </x:c>
      <x:c r="E225" t="str">
        <x:v>FS</x:v>
      </x:c>
      <x:c r="F225" t="n">
        <x:v>0</x:v>
      </x:c>
      <x:c r="G225" t="str">
        <x:v>Within Project</x:v>
      </x:c>
      <x:c r="H225" t="str">
        <x:v>Reconstructed from approved narrative/logic</x:v>
      </x:c>
    </x:row>
    <x:row r="226" ht="21" customHeight="1">
      <x:c r="A226" t="str">
        <x:v>R0237</x:v>
      </x:c>
      <x:c r="B226" t="str">
        <x:v>P06</x:v>
      </x:c>
      <x:c r="C226" t="str">
        <x:v>P06-A18a</x:v>
      </x:c>
      <x:c r="D226" t="str">
        <x:v>P06-M25</x:v>
      </x:c>
      <x:c r="E226" t="str">
        <x:v>FS</x:v>
      </x:c>
      <x:c r="F226" t="n">
        <x:v>0</x:v>
      </x:c>
      <x:c r="G226" t="str">
        <x:v>Within Project</x:v>
      </x:c>
      <x:c r="H226" t="str">
        <x:v>Reconstructed from approved narrative/logic</x:v>
      </x:c>
    </x:row>
    <x:row r="227" ht="21" customHeight="1">
      <x:c r="A227" t="str">
        <x:v>R0238</x:v>
      </x:c>
      <x:c r="B227" t="str">
        <x:v>P06</x:v>
      </x:c>
      <x:c r="C227" t="str">
        <x:v>P06-A19a</x:v>
      </x:c>
      <x:c r="D227" t="str">
        <x:v>P06-M50</x:v>
      </x:c>
      <x:c r="E227" t="str">
        <x:v>FS</x:v>
      </x:c>
      <x:c r="F227" t="n">
        <x:v>0</x:v>
      </x:c>
      <x:c r="G227" t="str">
        <x:v>Within Project</x:v>
      </x:c>
      <x:c r="H227" t="str">
        <x:v>Reconstructed from approved narrative/logic</x:v>
      </x:c>
    </x:row>
    <x:row r="228" ht="21" customHeight="1">
      <x:c r="A228" t="str">
        <x:v>R0239</x:v>
      </x:c>
      <x:c r="B228" t="str">
        <x:v>P06</x:v>
      </x:c>
      <x:c r="C228" t="str">
        <x:v>P06-A20a</x:v>
      </x:c>
      <x:c r="D228" t="str">
        <x:v>P06-M75</x:v>
      </x:c>
      <x:c r="E228" t="str">
        <x:v>FS</x:v>
      </x:c>
      <x:c r="F228" t="n">
        <x:v>0</x:v>
      </x:c>
      <x:c r="G228" t="str">
        <x:v>Within Project</x:v>
      </x:c>
      <x:c r="H228" t="str">
        <x:v>Reconstructed from approved narrative/logic</x:v>
      </x:c>
    </x:row>
    <x:row r="229" ht="21" customHeight="1">
      <x:c r="A229" t="str">
        <x:v>R0240</x:v>
      </x:c>
      <x:c r="B229" t="str">
        <x:v>P06</x:v>
      </x:c>
      <x:c r="C229" t="str">
        <x:v>P06-A21a</x:v>
      </x:c>
      <x:c r="D229" t="str">
        <x:v>P06-MFULL</x:v>
      </x:c>
      <x:c r="E229" t="str">
        <x:v>FS</x:v>
      </x:c>
      <x:c r="F229" t="n">
        <x:v>0</x:v>
      </x:c>
      <x:c r="G229" t="str">
        <x:v>Within Project</x:v>
      </x:c>
      <x:c r="H229" t="str">
        <x:v>Reconstructed from approved narrative/logic</x:v>
      </x:c>
    </x:row>
    <x:row r="230" ht="21" customHeight="1">
      <x:c r="A230" t="str">
        <x:v>R0241</x:v>
      </x:c>
      <x:c r="B230" t="str">
        <x:v>P06</x:v>
      </x:c>
      <x:c r="C230" t="str">
        <x:v>P06-A18b</x:v>
      </x:c>
      <x:c r="D230" t="str">
        <x:v>P06-A22</x:v>
      </x:c>
      <x:c r="E230" t="str">
        <x:v>FS</x:v>
      </x:c>
      <x:c r="F230" t="n">
        <x:v>0</x:v>
      </x:c>
      <x:c r="G230" t="str">
        <x:v>Within Project</x:v>
      </x:c>
      <x:c r="H230" t="str">
        <x:v>Reconstructed from approved narrative/logic</x:v>
      </x:c>
    </x:row>
    <x:row r="231" ht="21" customHeight="1">
      <x:c r="A231" t="str">
        <x:v>R0242</x:v>
      </x:c>
      <x:c r="B231" t="str">
        <x:v>P06</x:v>
      </x:c>
      <x:c r="C231" t="str">
        <x:v>P06-A19b</x:v>
      </x:c>
      <x:c r="D231" t="str">
        <x:v>P06-A22</x:v>
      </x:c>
      <x:c r="E231" t="str">
        <x:v>FS</x:v>
      </x:c>
      <x:c r="F231" t="n">
        <x:v>0</x:v>
      </x:c>
      <x:c r="G231" t="str">
        <x:v>Within Project</x:v>
      </x:c>
      <x:c r="H231" t="str">
        <x:v>Reconstructed from approved narrative/logic</x:v>
      </x:c>
    </x:row>
    <x:row r="232" ht="21" customHeight="1">
      <x:c r="A232" t="str">
        <x:v>R0243</x:v>
      </x:c>
      <x:c r="B232" t="str">
        <x:v>P06</x:v>
      </x:c>
      <x:c r="C232" t="str">
        <x:v>P06-A20b</x:v>
      </x:c>
      <x:c r="D232" t="str">
        <x:v>P06-A22</x:v>
      </x:c>
      <x:c r="E232" t="str">
        <x:v>FS</x:v>
      </x:c>
      <x:c r="F232" t="n">
        <x:v>0</x:v>
      </x:c>
      <x:c r="G232" t="str">
        <x:v>Within Project</x:v>
      </x:c>
      <x:c r="H232" t="str">
        <x:v>Reconstructed from approved narrative/logic</x:v>
      </x:c>
    </x:row>
    <x:row r="233" ht="21" customHeight="1">
      <x:c r="A233" t="str">
        <x:v>R0244</x:v>
      </x:c>
      <x:c r="B233" t="str">
        <x:v>P06</x:v>
      </x:c>
      <x:c r="C233" t="str">
        <x:v>P06-A21b</x:v>
      </x:c>
      <x:c r="D233" t="str">
        <x:v>P06-A22</x:v>
      </x:c>
      <x:c r="E233" t="str">
        <x:v>FS</x:v>
      </x:c>
      <x:c r="F233" t="n">
        <x:v>0</x:v>
      </x:c>
      <x:c r="G233" t="str">
        <x:v>Within Project</x:v>
      </x:c>
      <x:c r="H233" t="str">
        <x:v>Reconstructed from approved narrative/logic</x:v>
      </x:c>
    </x:row>
    <x:row r="234" ht="21" customHeight="1">
      <x:c r="A234" t="str">
        <x:v>R0245</x:v>
      </x:c>
      <x:c r="B234" t="str">
        <x:v>P06</x:v>
      </x:c>
      <x:c r="C234" t="str">
        <x:v>P06-A22</x:v>
      </x:c>
      <x:c r="D234" t="str">
        <x:v>P06-A23</x:v>
      </x:c>
      <x:c r="E234" t="str">
        <x:v>FS</x:v>
      </x:c>
      <x:c r="F234" t="n">
        <x:v>0</x:v>
      </x:c>
      <x:c r="G234" t="str">
        <x:v>Within Project</x:v>
      </x:c>
      <x:c r="H234" t="str">
        <x:v>Reconstructed from approved narrative/logic</x:v>
      </x:c>
    </x:row>
    <x:row r="235" ht="21" customHeight="1">
      <x:c r="A235" t="str">
        <x:v>R0246</x:v>
      </x:c>
      <x:c r="B235" t="str">
        <x:v>P06</x:v>
      </x:c>
      <x:c r="C235" t="str">
        <x:v>P06-A23</x:v>
      </x:c>
      <x:c r="D235" t="str">
        <x:v>P06-A24</x:v>
      </x:c>
      <x:c r="E235" t="str">
        <x:v>FS</x:v>
      </x:c>
      <x:c r="F235" t="n">
        <x:v>0</x:v>
      </x:c>
      <x:c r="G235" t="str">
        <x:v>Within Project</x:v>
      </x:c>
      <x:c r="H235" t="str">
        <x:v>Reconstructed from approved narrative/logic</x:v>
      </x:c>
    </x:row>
    <x:row r="236" ht="21" customHeight="1">
      <x:c r="A236" t="str">
        <x:v>R0247</x:v>
      </x:c>
      <x:c r="B236" t="str">
        <x:v>P06</x:v>
      </x:c>
      <x:c r="C236" t="str">
        <x:v>P06-A24</x:v>
      </x:c>
      <x:c r="D236" t="str">
        <x:v>P06-A25</x:v>
      </x:c>
      <x:c r="E236" t="str">
        <x:v>FS</x:v>
      </x:c>
      <x:c r="F236" t="n">
        <x:v>0</x:v>
      </x:c>
      <x:c r="G236" t="str">
        <x:v>Within Project</x:v>
      </x:c>
      <x:c r="H236" t="str">
        <x:v>Reconstructed from approved narrative/logic</x:v>
      </x:c>
    </x:row>
    <x:row r="237" ht="21" customHeight="1">
      <x:c r="A237" t="str">
        <x:v>R0248</x:v>
      </x:c>
      <x:c r="B237" t="str">
        <x:v>P06</x:v>
      </x:c>
      <x:c r="C237" t="str">
        <x:v>P06-A25</x:v>
      </x:c>
      <x:c r="D237" t="str">
        <x:v>P06-A26</x:v>
      </x:c>
      <x:c r="E237" t="str">
        <x:v>FS</x:v>
      </x:c>
      <x:c r="F237" t="n">
        <x:v>0</x:v>
      </x:c>
      <x:c r="G237" t="str">
        <x:v>Within Project</x:v>
      </x:c>
      <x:c r="H237" t="str">
        <x:v>Reconstructed from approved narrative/logic</x:v>
      </x:c>
    </x:row>
    <x:row r="238" ht="21" customHeight="1">
      <x:c r="A238" t="str">
        <x:v>R0249</x:v>
      </x:c>
      <x:c r="B238" t="str">
        <x:v>P06</x:v>
      </x:c>
      <x:c r="C238" t="str">
        <x:v>P06-A24</x:v>
      </x:c>
      <x:c r="D238" t="str">
        <x:v>P06-MOPACC</x:v>
      </x:c>
      <x:c r="E238" t="str">
        <x:v>FS</x:v>
      </x:c>
      <x:c r="F238" t="n">
        <x:v>0</x:v>
      </x:c>
      <x:c r="G238" t="str">
        <x:v>Within Project</x:v>
      </x:c>
      <x:c r="H238" t="str">
        <x:v>Reconstructed from approved narrative/logic</x:v>
      </x:c>
    </x:row>
    <x:row r="239" ht="21" customHeight="1">
      <x:c r="A239" t="str">
        <x:v>R0250</x:v>
      </x:c>
      <x:c r="B239" t="str">
        <x:v>P06</x:v>
      </x:c>
      <x:c r="C239" t="str">
        <x:v>P06-A24</x:v>
      </x:c>
      <x:c r="D239" t="str">
        <x:v>P06-M3</x:v>
      </x:c>
      <x:c r="E239" t="str">
        <x:v>FS</x:v>
      </x:c>
      <x:c r="F239" t="n">
        <x:v>0</x:v>
      </x:c>
      <x:c r="G239" t="str">
        <x:v>Within Project</x:v>
      </x:c>
      <x:c r="H239" t="str">
        <x:v>Reconstructed from approved narrative/logic</x:v>
      </x:c>
    </x:row>
    <x:row r="240" ht="21" customHeight="1">
      <x:c r="A240" t="str">
        <x:v>R0251</x:v>
      </x:c>
      <x:c r="B240" t="str">
        <x:v>P06</x:v>
      </x:c>
      <x:c r="C240" t="str">
        <x:v>P06-A26</x:v>
      </x:c>
      <x:c r="D240" t="str">
        <x:v>P06-M4</x:v>
      </x:c>
      <x:c r="E240" t="str">
        <x:v>FS</x:v>
      </x:c>
      <x:c r="F240" t="n">
        <x:v>0</x:v>
      </x:c>
      <x:c r="G240" t="str">
        <x:v>Within Project</x:v>
      </x:c>
      <x:c r="H240" t="str">
        <x:v>Reconstructed from approved narrative/logic</x:v>
      </x:c>
    </x:row>
    <x:row r="241" ht="21" customHeight="1">
      <x:c r="A241" t="str">
        <x:v>R0252</x:v>
      </x:c>
      <x:c r="B241" t="str">
        <x:v>P07</x:v>
      </x:c>
      <x:c r="C241" t="str">
        <x:v>P07-A1</x:v>
      </x:c>
      <x:c r="D241" t="str">
        <x:v>P07-A2</x:v>
      </x:c>
      <x:c r="E241" t="str">
        <x:v>FS</x:v>
      </x:c>
      <x:c r="F241" t="n">
        <x:v>0</x:v>
      </x:c>
      <x:c r="G241" t="str">
        <x:v>Within Project</x:v>
      </x:c>
      <x:c r="H241" t="str">
        <x:v>Reconstructed from approved narrative/logic</x:v>
      </x:c>
    </x:row>
    <x:row r="242" ht="21" customHeight="1">
      <x:c r="A242" t="str">
        <x:v>R0253</x:v>
      </x:c>
      <x:c r="B242" t="str">
        <x:v>P07</x:v>
      </x:c>
      <x:c r="C242" t="str">
        <x:v>P07-A2</x:v>
      </x:c>
      <x:c r="D242" t="str">
        <x:v>P07-A3</x:v>
      </x:c>
      <x:c r="E242" t="str">
        <x:v>FS</x:v>
      </x:c>
      <x:c r="F242" t="n">
        <x:v>0</x:v>
      </x:c>
      <x:c r="G242" t="str">
        <x:v>Within Project</x:v>
      </x:c>
      <x:c r="H242" t="str">
        <x:v>Reconstructed from approved narrative/logic</x:v>
      </x:c>
    </x:row>
    <x:row r="243" ht="21" customHeight="1">
      <x:c r="A243" t="str">
        <x:v>R0254</x:v>
      </x:c>
      <x:c r="B243" t="str">
        <x:v>P07</x:v>
      </x:c>
      <x:c r="C243" t="str">
        <x:v>P07-A3</x:v>
      </x:c>
      <x:c r="D243" t="str">
        <x:v>P07-A4</x:v>
      </x:c>
      <x:c r="E243" t="str">
        <x:v>FS</x:v>
      </x:c>
      <x:c r="F243" t="n">
        <x:v>5</x:v>
      </x:c>
      <x:c r="G243" t="str">
        <x:v>Within Project</x:v>
      </x:c>
      <x:c r="H243" t="str">
        <x:v>Reconstructed from approved narrative/logic</x:v>
      </x:c>
    </x:row>
    <x:row r="244" ht="21" customHeight="1">
      <x:c r="A244" t="str">
        <x:v>R0255</x:v>
      </x:c>
      <x:c r="B244" t="str">
        <x:v>P07</x:v>
      </x:c>
      <x:c r="C244" t="str">
        <x:v>P07-A4</x:v>
      </x:c>
      <x:c r="D244" t="str">
        <x:v>P07-M1</x:v>
      </x:c>
      <x:c r="E244" t="str">
        <x:v>FS</x:v>
      </x:c>
      <x:c r="F244" t="n">
        <x:v>0</x:v>
      </x:c>
      <x:c r="G244" t="str">
        <x:v>Within Project</x:v>
      </x:c>
      <x:c r="H244" t="str">
        <x:v>Reconstructed from approved narrative/logic</x:v>
      </x:c>
    </x:row>
    <x:row r="245" ht="21" customHeight="1">
      <x:c r="A245" t="str">
        <x:v>R0256</x:v>
      </x:c>
      <x:c r="B245" t="str">
        <x:v>P07</x:v>
      </x:c>
      <x:c r="C245" t="str">
        <x:v>P07-A4</x:v>
      </x:c>
      <x:c r="D245" t="str">
        <x:v>P07-A4b</x:v>
      </x:c>
      <x:c r="E245" t="str">
        <x:v>FS</x:v>
      </x:c>
      <x:c r="F245" t="n">
        <x:v>0</x:v>
      </x:c>
      <x:c r="G245" t="str">
        <x:v>Within Project</x:v>
      </x:c>
      <x:c r="H245" t="str">
        <x:v>Reconstructed from approved narrative/logic</x:v>
      </x:c>
    </x:row>
    <x:row r="246" ht="21" customHeight="1">
      <x:c r="A246" t="str">
        <x:v>R0257</x:v>
      </x:c>
      <x:c r="B246" t="str">
        <x:v>P07</x:v>
      </x:c>
      <x:c r="C246" t="str">
        <x:v>P07-A4</x:v>
      </x:c>
      <x:c r="D246" t="str">
        <x:v>P07-A5</x:v>
      </x:c>
      <x:c r="E246" t="str">
        <x:v>SS</x:v>
      </x:c>
      <x:c r="F246" t="n">
        <x:v>10</x:v>
      </x:c>
      <x:c r="G246" t="str">
        <x:v>Within Project</x:v>
      </x:c>
      <x:c r="H246" t="str">
        <x:v>Reconstructed from approved narrative/logic</x:v>
      </x:c>
    </x:row>
    <x:row r="247" ht="21" customHeight="1">
      <x:c r="A247" t="str">
        <x:v>R0258</x:v>
      </x:c>
      <x:c r="B247" t="str">
        <x:v>P07</x:v>
      </x:c>
      <x:c r="C247" t="str">
        <x:v>P07-A5</x:v>
      </x:c>
      <x:c r="D247" t="str">
        <x:v>P07-A5b</x:v>
      </x:c>
      <x:c r="E247" t="str">
        <x:v>FS</x:v>
      </x:c>
      <x:c r="F247" t="n">
        <x:v>0</x:v>
      </x:c>
      <x:c r="G247" t="str">
        <x:v>Within Project</x:v>
      </x:c>
      <x:c r="H247" t="str">
        <x:v>Reconstructed from approved narrative/logic</x:v>
      </x:c>
    </x:row>
    <x:row r="248" ht="21" customHeight="1">
      <x:c r="A248" t="str">
        <x:v>R0259</x:v>
      </x:c>
      <x:c r="B248" t="str">
        <x:v>P07</x:v>
      </x:c>
      <x:c r="C248" t="str">
        <x:v>P07-A5b</x:v>
      </x:c>
      <x:c r="D248" t="str">
        <x:v>P07-A5c</x:v>
      </x:c>
      <x:c r="E248" t="str">
        <x:v>FS</x:v>
      </x:c>
      <x:c r="F248" t="n">
        <x:v>0</x:v>
      </x:c>
      <x:c r="G248" t="str">
        <x:v>Within Project</x:v>
      </x:c>
      <x:c r="H248" t="str">
        <x:v>Reconstructed from approved narrative/logic</x:v>
      </x:c>
    </x:row>
    <x:row r="249" ht="21" customHeight="1">
      <x:c r="A249" t="str">
        <x:v>R0260</x:v>
      </x:c>
      <x:c r="B249" t="str">
        <x:v>P07</x:v>
      </x:c>
      <x:c r="C249" t="str">
        <x:v>P07-A5c</x:v>
      </x:c>
      <x:c r="D249" t="str">
        <x:v>P07-M2</x:v>
      </x:c>
      <x:c r="E249" t="str">
        <x:v>FS</x:v>
      </x:c>
      <x:c r="F249" t="n">
        <x:v>10</x:v>
      </x:c>
      <x:c r="G249" t="str">
        <x:v>Within Project</x:v>
      </x:c>
      <x:c r="H249" t="str">
        <x:v>Reconstructed from approved narrative/logic | USER-APPROVED SYNTHETIC POST-GOVERNING-APPROVAL NTP RELEASE HOLD: 10 business days (not recovered original)</x:v>
      </x:c>
    </x:row>
    <x:row r="250" ht="21" customHeight="1">
      <x:c r="A250" t="str">
        <x:v>R0261</x:v>
      </x:c>
      <x:c r="B250" t="str">
        <x:v>P07</x:v>
      </x:c>
      <x:c r="C250" t="str">
        <x:v>P07-A4b</x:v>
      </x:c>
      <x:c r="D250" t="str">
        <x:v>P07-M2</x:v>
      </x:c>
      <x:c r="E250" t="str">
        <x:v>FS</x:v>
      </x:c>
      <x:c r="F250" t="n">
        <x:v>0</x:v>
      </x:c>
      <x:c r="G250" t="str">
        <x:v>Within Project</x:v>
      </x:c>
      <x:c r="H250" t="str">
        <x:v>Reconstructed from approved narrative/logic</x:v>
      </x:c>
    </x:row>
    <x:row r="251" ht="21" customHeight="1">
      <x:c r="A251" t="str">
        <x:v>R0262</x:v>
      </x:c>
      <x:c r="B251" t="str">
        <x:v>P07</x:v>
      </x:c>
      <x:c r="C251" t="str">
        <x:v>P07-M2</x:v>
      </x:c>
      <x:c r="D251" t="str">
        <x:v>P07-A6</x:v>
      </x:c>
      <x:c r="E251" t="str">
        <x:v>FS</x:v>
      </x:c>
      <x:c r="F251" t="n">
        <x:v>0</x:v>
      </x:c>
      <x:c r="G251" t="str">
        <x:v>Within Project</x:v>
      </x:c>
      <x:c r="H251" t="str">
        <x:v>Reconstructed from approved narrative/logic</x:v>
      </x:c>
    </x:row>
    <x:row r="252" ht="21" customHeight="1">
      <x:c r="A252" t="str">
        <x:v>R0263</x:v>
      </x:c>
      <x:c r="B252" t="str">
        <x:v>P07</x:v>
      </x:c>
      <x:c r="C252" t="str">
        <x:v>P07-M2</x:v>
      </x:c>
      <x:c r="D252" t="str">
        <x:v>P07-A7</x:v>
      </x:c>
      <x:c r="E252" t="str">
        <x:v>FS</x:v>
      </x:c>
      <x:c r="F252" t="n">
        <x:v>0</x:v>
      </x:c>
      <x:c r="G252" t="str">
        <x:v>Within Project</x:v>
      </x:c>
      <x:c r="H252" t="str">
        <x:v>Reconstructed from approved narrative/logic</x:v>
      </x:c>
    </x:row>
    <x:row r="253" ht="21" customHeight="1">
      <x:c r="A253" t="str">
        <x:v>R0264</x:v>
      </x:c>
      <x:c r="B253" t="str">
        <x:v>P07</x:v>
      </x:c>
      <x:c r="C253" t="str">
        <x:v>P07-M2</x:v>
      </x:c>
      <x:c r="D253" t="str">
        <x:v>P07-A8</x:v>
      </x:c>
      <x:c r="E253" t="str">
        <x:v>FS</x:v>
      </x:c>
      <x:c r="F253" t="n">
        <x:v>0</x:v>
      </x:c>
      <x:c r="G253" t="str">
        <x:v>Within Project</x:v>
      </x:c>
      <x:c r="H253" t="str">
        <x:v>Reconstructed from approved narrative/logic</x:v>
      </x:c>
    </x:row>
    <x:row r="254" ht="21" customHeight="1">
      <x:c r="A254" t="str">
        <x:v>R0265</x:v>
      </x:c>
      <x:c r="B254" t="str">
        <x:v>P07</x:v>
      </x:c>
      <x:c r="C254" t="str">
        <x:v>P07-A8</x:v>
      </x:c>
      <x:c r="D254" t="str">
        <x:v>P07-A9</x:v>
      </x:c>
      <x:c r="E254" t="str">
        <x:v>FS</x:v>
      </x:c>
      <x:c r="F254" t="n">
        <x:v>0</x:v>
      </x:c>
      <x:c r="G254" t="str">
        <x:v>Within Project</x:v>
      </x:c>
      <x:c r="H254" t="str">
        <x:v>Reconstructed from approved narrative/logic</x:v>
      </x:c>
    </x:row>
    <x:row r="255" ht="21" customHeight="1">
      <x:c r="A255" t="str">
        <x:v>R0266</x:v>
      </x:c>
      <x:c r="B255" t="str">
        <x:v>P07</x:v>
      </x:c>
      <x:c r="C255" t="str">
        <x:v>P07-A6</x:v>
      </x:c>
      <x:c r="D255" t="str">
        <x:v>P07-A10</x:v>
      </x:c>
      <x:c r="E255" t="str">
        <x:v>FS</x:v>
      </x:c>
      <x:c r="F255" t="n">
        <x:v>0</x:v>
      </x:c>
      <x:c r="G255" t="str">
        <x:v>Within Project</x:v>
      </x:c>
      <x:c r="H255" t="str">
        <x:v>Reconstructed from approved narrative/logic</x:v>
      </x:c>
    </x:row>
    <x:row r="256" ht="21" customHeight="1">
      <x:c r="A256" t="str">
        <x:v>R0267</x:v>
      </x:c>
      <x:c r="B256" t="str">
        <x:v>P07</x:v>
      </x:c>
      <x:c r="C256" t="str">
        <x:v>P07-A7</x:v>
      </x:c>
      <x:c r="D256" t="str">
        <x:v>P07-A10</x:v>
      </x:c>
      <x:c r="E256" t="str">
        <x:v>FS</x:v>
      </x:c>
      <x:c r="F256" t="n">
        <x:v>0</x:v>
      </x:c>
      <x:c r="G256" t="str">
        <x:v>Within Project</x:v>
      </x:c>
      <x:c r="H256" t="str">
        <x:v>Reconstructed from approved narrative/logic</x:v>
      </x:c>
    </x:row>
    <x:row r="257" ht="21" customHeight="1">
      <x:c r="A257" t="str">
        <x:v>R0268</x:v>
      </x:c>
      <x:c r="B257" t="str">
        <x:v>P07</x:v>
      </x:c>
      <x:c r="C257" t="str">
        <x:v>P07-A10</x:v>
      </x:c>
      <x:c r="D257" t="str">
        <x:v>P07-A11</x:v>
      </x:c>
      <x:c r="E257" t="str">
        <x:v>FS</x:v>
      </x:c>
      <x:c r="F257" t="n">
        <x:v>0</x:v>
      </x:c>
      <x:c r="G257" t="str">
        <x:v>Within Project</x:v>
      </x:c>
      <x:c r="H257" t="str">
        <x:v>Reconstructed from approved narrative/logic</x:v>
      </x:c>
    </x:row>
    <x:row r="258" ht="21" customHeight="1">
      <x:c r="A258" t="str">
        <x:v>R0269</x:v>
      </x:c>
      <x:c r="B258" t="str">
        <x:v>P07</x:v>
      </x:c>
      <x:c r="C258" t="str">
        <x:v>P07-A9</x:v>
      </x:c>
      <x:c r="D258" t="str">
        <x:v>P07-A11</x:v>
      </x:c>
      <x:c r="E258" t="str">
        <x:v>FS</x:v>
      </x:c>
      <x:c r="F258" t="n">
        <x:v>0</x:v>
      </x:c>
      <x:c r="G258" t="str">
        <x:v>Within Project</x:v>
      </x:c>
      <x:c r="H258" t="str">
        <x:v>Reconstructed from approved narrative/logic</x:v>
      </x:c>
    </x:row>
    <x:row r="259" ht="21" customHeight="1">
      <x:c r="A259" t="str">
        <x:v>R0270</x:v>
      </x:c>
      <x:c r="B259" t="str">
        <x:v>P07</x:v>
      </x:c>
      <x:c r="C259" t="str">
        <x:v>P07-A11</x:v>
      </x:c>
      <x:c r="D259" t="str">
        <x:v>P07-A12</x:v>
      </x:c>
      <x:c r="E259" t="str">
        <x:v>FS</x:v>
      </x:c>
      <x:c r="F259" t="n">
        <x:v>0</x:v>
      </x:c>
      <x:c r="G259" t="str">
        <x:v>Within Project</x:v>
      </x:c>
      <x:c r="H259" t="str">
        <x:v>Reconstructed from approved narrative/logic</x:v>
      </x:c>
    </x:row>
    <x:row r="260" ht="21" customHeight="1">
      <x:c r="A260" t="str">
        <x:v>R0271</x:v>
      </x:c>
      <x:c r="B260" t="str">
        <x:v>P07</x:v>
      </x:c>
      <x:c r="C260" t="str">
        <x:v>P07-A12</x:v>
      </x:c>
      <x:c r="D260" t="str">
        <x:v>P07-A13</x:v>
      </x:c>
      <x:c r="E260" t="str">
        <x:v>FS</x:v>
      </x:c>
      <x:c r="F260" t="n">
        <x:v>0</x:v>
      </x:c>
      <x:c r="G260" t="str">
        <x:v>Within Project</x:v>
      </x:c>
      <x:c r="H260" t="str">
        <x:v>Reconstructed from approved narrative/logic</x:v>
      </x:c>
    </x:row>
    <x:row r="261" ht="21" customHeight="1">
      <x:c r="A261" t="str">
        <x:v>R0272</x:v>
      </x:c>
      <x:c r="B261" t="str">
        <x:v>P07</x:v>
      </x:c>
      <x:c r="C261" t="str">
        <x:v>P07-A13</x:v>
      </x:c>
      <x:c r="D261" t="str">
        <x:v>P07-A14</x:v>
      </x:c>
      <x:c r="E261" t="str">
        <x:v>FS</x:v>
      </x:c>
      <x:c r="F261" t="n">
        <x:v>0</x:v>
      </x:c>
      <x:c r="G261" t="str">
        <x:v>Within Project</x:v>
      </x:c>
      <x:c r="H261" t="str">
        <x:v>Reconstructed from approved narrative/logic</x:v>
      </x:c>
    </x:row>
    <x:row r="262" ht="21" customHeight="1">
      <x:c r="A262" t="str">
        <x:v>R0273</x:v>
      </x:c>
      <x:c r="B262" t="str">
        <x:v>P07</x:v>
      </x:c>
      <x:c r="C262" t="str">
        <x:v>P07-A14</x:v>
      </x:c>
      <x:c r="D262" t="str">
        <x:v>P07-A15</x:v>
      </x:c>
      <x:c r="E262" t="str">
        <x:v>FS</x:v>
      </x:c>
      <x:c r="F262" t="n">
        <x:v>0</x:v>
      </x:c>
      <x:c r="G262" t="str">
        <x:v>Within Project</x:v>
      </x:c>
      <x:c r="H262" t="str">
        <x:v>Reconstructed from approved narrative/logic</x:v>
      </x:c>
    </x:row>
    <x:row r="263" ht="21" customHeight="1">
      <x:c r="A263" t="str">
        <x:v>R0274</x:v>
      </x:c>
      <x:c r="B263" t="str">
        <x:v>P07</x:v>
      </x:c>
      <x:c r="C263" t="str">
        <x:v>P07-A15</x:v>
      </x:c>
      <x:c r="D263" t="str">
        <x:v>P07-A16</x:v>
      </x:c>
      <x:c r="E263" t="str">
        <x:v>FS</x:v>
      </x:c>
      <x:c r="F263" t="n">
        <x:v>0</x:v>
      </x:c>
      <x:c r="G263" t="str">
        <x:v>Within Project</x:v>
      </x:c>
      <x:c r="H263" t="str">
        <x:v>Reconstructed from approved narrative/logic</x:v>
      </x:c>
    </x:row>
    <x:row r="264" ht="21" customHeight="1">
      <x:c r="A264" t="str">
        <x:v>R0275</x:v>
      </x:c>
      <x:c r="B264" t="str">
        <x:v>P07</x:v>
      </x:c>
      <x:c r="C264" t="str">
        <x:v>P07-A14</x:v>
      </x:c>
      <x:c r="D264" t="str">
        <x:v>P07-MCOMM</x:v>
      </x:c>
      <x:c r="E264" t="str">
        <x:v>FS</x:v>
      </x:c>
      <x:c r="F264" t="n">
        <x:v>0</x:v>
      </x:c>
      <x:c r="G264" t="str">
        <x:v>Within Project</x:v>
      </x:c>
      <x:c r="H264" t="str">
        <x:v>Reconstructed from approved narrative/logic</x:v>
      </x:c>
    </x:row>
    <x:row r="265" ht="21" customHeight="1">
      <x:c r="A265" t="str">
        <x:v>R0276</x:v>
      </x:c>
      <x:c r="B265" t="str">
        <x:v>P07</x:v>
      </x:c>
      <x:c r="C265" t="str">
        <x:v>P07-A15</x:v>
      </x:c>
      <x:c r="D265" t="str">
        <x:v>P07-MBAL</x:v>
      </x:c>
      <x:c r="E265" t="str">
        <x:v>FS</x:v>
      </x:c>
      <x:c r="F265" t="n">
        <x:v>0</x:v>
      </x:c>
      <x:c r="G265" t="str">
        <x:v>Within Project</x:v>
      </x:c>
      <x:c r="H265" t="str">
        <x:v>Reconstructed from approved narrative/logic</x:v>
      </x:c>
    </x:row>
    <x:row r="266" ht="21" customHeight="1">
      <x:c r="A266" t="str">
        <x:v>R0277</x:v>
      </x:c>
      <x:c r="B266" t="str">
        <x:v>P07</x:v>
      </x:c>
      <x:c r="C266" t="str">
        <x:v>P07-A16</x:v>
      </x:c>
      <x:c r="D266" t="str">
        <x:v>P07-M3</x:v>
      </x:c>
      <x:c r="E266" t="str">
        <x:v>FS</x:v>
      </x:c>
      <x:c r="F266" t="n">
        <x:v>0</x:v>
      </x:c>
      <x:c r="G266" t="str">
        <x:v>Within Project</x:v>
      </x:c>
      <x:c r="H266" t="str">
        <x:v>Reconstructed from approved narrative/logic</x:v>
      </x:c>
    </x:row>
    <x:row r="267" ht="21" customHeight="1">
      <x:c r="A267" t="str">
        <x:v>R0278</x:v>
      </x:c>
      <x:c r="B267" t="str">
        <x:v>P07</x:v>
      </x:c>
      <x:c r="C267" t="str">
        <x:v>P07-A16</x:v>
      </x:c>
      <x:c r="D267" t="str">
        <x:v>P07-A17</x:v>
      </x:c>
      <x:c r="E267" t="str">
        <x:v>FS</x:v>
      </x:c>
      <x:c r="F267" t="n">
        <x:v>0</x:v>
      </x:c>
      <x:c r="G267" t="str">
        <x:v>Within Project</x:v>
      </x:c>
      <x:c r="H267" t="str">
        <x:v>Reconstructed from approved narrative/logic</x:v>
      </x:c>
    </x:row>
    <x:row r="268" ht="21" customHeight="1">
      <x:c r="A268" t="str">
        <x:v>R0279</x:v>
      </x:c>
      <x:c r="B268" t="str">
        <x:v>P07</x:v>
      </x:c>
      <x:c r="C268" t="str">
        <x:v>P07-A17</x:v>
      </x:c>
      <x:c r="D268" t="str">
        <x:v>P07-A18</x:v>
      </x:c>
      <x:c r="E268" t="str">
        <x:v>SS</x:v>
      </x:c>
      <x:c r="F268" t="n">
        <x:v>5</x:v>
      </x:c>
      <x:c r="G268" t="str">
        <x:v>Within Project</x:v>
      </x:c>
      <x:c r="H268" t="str">
        <x:v>Recovered by reconciliation to approved M3/M4 dates and published closeout durations</x:v>
      </x:c>
    </x:row>
    <x:row r="269" ht="21" customHeight="1">
      <x:c r="A269" t="str">
        <x:v>R0280</x:v>
      </x:c>
      <x:c r="B269" t="str">
        <x:v>P07</x:v>
      </x:c>
      <x:c r="C269" t="str">
        <x:v>P07-A16</x:v>
      </x:c>
      <x:c r="D269" t="str">
        <x:v>P07-A18</x:v>
      </x:c>
      <x:c r="E269" t="str">
        <x:v>FF</x:v>
      </x:c>
      <x:c r="F269" t="n">
        <x:v>0</x:v>
      </x:c>
      <x:c r="G269" t="str">
        <x:v>Within Project</x:v>
      </x:c>
      <x:c r="H269" t="str">
        <x:v>Reconstructed from approved narrative/logic</x:v>
      </x:c>
    </x:row>
    <x:row r="270" ht="21" customHeight="1">
      <x:c r="A270" t="str">
        <x:v>R0281</x:v>
      </x:c>
      <x:c r="B270" t="str">
        <x:v>P07</x:v>
      </x:c>
      <x:c r="C270" t="str">
        <x:v>P07-A18</x:v>
      </x:c>
      <x:c r="D270" t="str">
        <x:v>P07-M4</x:v>
      </x:c>
      <x:c r="E270" t="str">
        <x:v>FS</x:v>
      </x:c>
      <x:c r="F270" t="n">
        <x:v>0</x:v>
      </x:c>
      <x:c r="G270" t="str">
        <x:v>Within Project</x:v>
      </x:c>
      <x:c r="H270" t="str">
        <x:v>Reconstructed from approved narrative/logic</x:v>
      </x:c>
    </x:row>
    <x:row r="271" ht="21" customHeight="1">
      <x:c r="A271" t="str">
        <x:v>R0282</x:v>
      </x:c>
      <x:c r="B271" t="str">
        <x:v>P08</x:v>
      </x:c>
      <x:c r="C271" t="str">
        <x:v>P08-A1</x:v>
      </x:c>
      <x:c r="D271" t="str">
        <x:v>P08-A2</x:v>
      </x:c>
      <x:c r="E271" t="str">
        <x:v>FS</x:v>
      </x:c>
      <x:c r="F271" t="n">
        <x:v>0</x:v>
      </x:c>
      <x:c r="G271" t="str">
        <x:v>Within Project</x:v>
      </x:c>
      <x:c r="H271" t="str">
        <x:v>Reconstructed from approved narrative/logic</x:v>
      </x:c>
    </x:row>
    <x:row r="272" ht="21" customHeight="1">
      <x:c r="A272" t="str">
        <x:v>R0283</x:v>
      </x:c>
      <x:c r="B272" t="str">
        <x:v>P08</x:v>
      </x:c>
      <x:c r="C272" t="str">
        <x:v>P08-A2</x:v>
      </x:c>
      <x:c r="D272" t="str">
        <x:v>P08-A3</x:v>
      </x:c>
      <x:c r="E272" t="str">
        <x:v>FS</x:v>
      </x:c>
      <x:c r="F272" t="n">
        <x:v>0</x:v>
      </x:c>
      <x:c r="G272" t="str">
        <x:v>Within Project</x:v>
      </x:c>
      <x:c r="H272" t="str">
        <x:v>Reconstructed from approved narrative/logic</x:v>
      </x:c>
    </x:row>
    <x:row r="273" ht="21" customHeight="1">
      <x:c r="A273" t="str">
        <x:v>R0284</x:v>
      </x:c>
      <x:c r="B273" t="str">
        <x:v>P08</x:v>
      </x:c>
      <x:c r="C273" t="str">
        <x:v>P08-A3</x:v>
      </x:c>
      <x:c r="D273" t="str">
        <x:v>P08-A4</x:v>
      </x:c>
      <x:c r="E273" t="str">
        <x:v>FS</x:v>
      </x:c>
      <x:c r="F273" t="n">
        <x:v>5</x:v>
      </x:c>
      <x:c r="G273" t="str">
        <x:v>Within Project</x:v>
      </x:c>
      <x:c r="H273" t="str">
        <x:v>Reconstructed from approved narrative/logic</x:v>
      </x:c>
    </x:row>
    <x:row r="274" ht="21" customHeight="1">
      <x:c r="A274" t="str">
        <x:v>R0285</x:v>
      </x:c>
      <x:c r="B274" t="str">
        <x:v>P08</x:v>
      </x:c>
      <x:c r="C274" t="str">
        <x:v>P08-A4</x:v>
      </x:c>
      <x:c r="D274" t="str">
        <x:v>P08-M1</x:v>
      </x:c>
      <x:c r="E274" t="str">
        <x:v>FS</x:v>
      </x:c>
      <x:c r="F274" t="n">
        <x:v>0</x:v>
      </x:c>
      <x:c r="G274" t="str">
        <x:v>Within Project</x:v>
      </x:c>
      <x:c r="H274" t="str">
        <x:v>Reconstructed from approved narrative/logic</x:v>
      </x:c>
    </x:row>
    <x:row r="275" ht="21" customHeight="1">
      <x:c r="A275" t="str">
        <x:v>R0286</x:v>
      </x:c>
      <x:c r="B275" t="str">
        <x:v>P08</x:v>
      </x:c>
      <x:c r="C275" t="str">
        <x:v>P08-A4</x:v>
      </x:c>
      <x:c r="D275" t="str">
        <x:v>P08-A4b</x:v>
      </x:c>
      <x:c r="E275" t="str">
        <x:v>FS</x:v>
      </x:c>
      <x:c r="F275" t="n">
        <x:v>0</x:v>
      </x:c>
      <x:c r="G275" t="str">
        <x:v>Within Project</x:v>
      </x:c>
      <x:c r="H275" t="str">
        <x:v>Reconstructed from approved narrative/logic</x:v>
      </x:c>
    </x:row>
    <x:row r="276" ht="21" customHeight="1">
      <x:c r="A276" t="str">
        <x:v>R0287</x:v>
      </x:c>
      <x:c r="B276" t="str">
        <x:v>P08</x:v>
      </x:c>
      <x:c r="C276" t="str">
        <x:v>P08-A3</x:v>
      </x:c>
      <x:c r="D276" t="str">
        <x:v>P08-A7</x:v>
      </x:c>
      <x:c r="E276" t="str">
        <x:v>SS</x:v>
      </x:c>
      <x:c r="F276" t="n">
        <x:v>10</x:v>
      </x:c>
      <x:c r="G276" t="str">
        <x:v>Within Project</x:v>
      </x:c>
      <x:c r="H276" t="str">
        <x:v>Reconstructed from approved narrative/logic</x:v>
      </x:c>
    </x:row>
    <x:row r="277" ht="21" customHeight="1">
      <x:c r="A277" t="str">
        <x:v>R0288</x:v>
      </x:c>
      <x:c r="B277" t="str">
        <x:v>P08</x:v>
      </x:c>
      <x:c r="C277" t="str">
        <x:v>P08-A4</x:v>
      </x:c>
      <x:c r="D277" t="str">
        <x:v>P08-A5</x:v>
      </x:c>
      <x:c r="E277" t="str">
        <x:v>SS</x:v>
      </x:c>
      <x:c r="F277" t="n">
        <x:v>10</x:v>
      </x:c>
      <x:c r="G277" t="str">
        <x:v>Within Project</x:v>
      </x:c>
      <x:c r="H277" t="str">
        <x:v>Reconstructed from approved narrative/logic</x:v>
      </x:c>
    </x:row>
    <x:row r="278" ht="21" customHeight="1">
      <x:c r="A278" t="str">
        <x:v>R0289</x:v>
      </x:c>
      <x:c r="B278" t="str">
        <x:v>P08</x:v>
      </x:c>
      <x:c r="C278" t="str">
        <x:v>P08-A5</x:v>
      </x:c>
      <x:c r="D278" t="str">
        <x:v>P08-A5b</x:v>
      </x:c>
      <x:c r="E278" t="str">
        <x:v>FS</x:v>
      </x:c>
      <x:c r="F278" t="n">
        <x:v>0</x:v>
      </x:c>
      <x:c r="G278" t="str">
        <x:v>Within Project</x:v>
      </x:c>
      <x:c r="H278" t="str">
        <x:v>Reconstructed from approved narrative/logic</x:v>
      </x:c>
    </x:row>
    <x:row r="279" ht="21" customHeight="1">
      <x:c r="A279" t="str">
        <x:v>R0290</x:v>
      </x:c>
      <x:c r="B279" t="str">
        <x:v>P08</x:v>
      </x:c>
      <x:c r="C279" t="str">
        <x:v>P08-A5b</x:v>
      </x:c>
      <x:c r="D279" t="str">
        <x:v>P08-A5c</x:v>
      </x:c>
      <x:c r="E279" t="str">
        <x:v>FS</x:v>
      </x:c>
      <x:c r="F279" t="n">
        <x:v>0</x:v>
      </x:c>
      <x:c r="G279" t="str">
        <x:v>Within Project</x:v>
      </x:c>
      <x:c r="H279" t="str">
        <x:v>Reconstructed from approved narrative/logic</x:v>
      </x:c>
    </x:row>
    <x:row r="280" ht="21" customHeight="1">
      <x:c r="A280" t="str">
        <x:v>R0291</x:v>
      </x:c>
      <x:c r="B280" t="str">
        <x:v>P08</x:v>
      </x:c>
      <x:c r="C280" t="str">
        <x:v>P08-A5c</x:v>
      </x:c>
      <x:c r="D280" t="str">
        <x:v>P08-M2</x:v>
      </x:c>
      <x:c r="E280" t="str">
        <x:v>FS</x:v>
      </x:c>
      <x:c r="F280" t="n">
        <x:v>10</x:v>
      </x:c>
      <x:c r="G280" t="str">
        <x:v>Within Project</x:v>
      </x:c>
      <x:c r="H280" t="str">
        <x:v>Reconstructed from approved narrative/logic | USER-APPROVED SYNTHETIC POST-GOVERNING-APPROVAL NTP RELEASE HOLD: 10 business days (not recovered original)</x:v>
      </x:c>
    </x:row>
    <x:row r="281" ht="21" customHeight="1">
      <x:c r="A281" t="str">
        <x:v>R0292</x:v>
      </x:c>
      <x:c r="B281" t="str">
        <x:v>P08</x:v>
      </x:c>
      <x:c r="C281" t="str">
        <x:v>P08-A4b</x:v>
      </x:c>
      <x:c r="D281" t="str">
        <x:v>P08-M2</x:v>
      </x:c>
      <x:c r="E281" t="str">
        <x:v>FS</x:v>
      </x:c>
      <x:c r="F281" t="n">
        <x:v>0</x:v>
      </x:c>
      <x:c r="G281" t="str">
        <x:v>Within Project</x:v>
      </x:c>
      <x:c r="H281" t="str">
        <x:v>Reconstructed from approved narrative/logic</x:v>
      </x:c>
    </x:row>
    <x:row r="282" ht="21" customHeight="1">
      <x:c r="A282" t="str">
        <x:v>R0293</x:v>
      </x:c>
      <x:c r="B282" t="str">
        <x:v>P08</x:v>
      </x:c>
      <x:c r="C282" t="str">
        <x:v>P08-M2</x:v>
      </x:c>
      <x:c r="D282" t="str">
        <x:v>P08-A6</x:v>
      </x:c>
      <x:c r="E282" t="str">
        <x:v>FS</x:v>
      </x:c>
      <x:c r="F282" t="n">
        <x:v>0</x:v>
      </x:c>
      <x:c r="G282" t="str">
        <x:v>Within Project</x:v>
      </x:c>
      <x:c r="H282" t="str">
        <x:v>Reconstructed from approved narrative/logic</x:v>
      </x:c>
    </x:row>
    <x:row r="283" ht="21" customHeight="1">
      <x:c r="A283" t="str">
        <x:v>R0294</x:v>
      </x:c>
      <x:c r="B283" t="str">
        <x:v>P08</x:v>
      </x:c>
      <x:c r="C283" t="str">
        <x:v>P08-M2</x:v>
      </x:c>
      <x:c r="D283" t="str">
        <x:v>P08-A8</x:v>
      </x:c>
      <x:c r="E283" t="str">
        <x:v>FS</x:v>
      </x:c>
      <x:c r="F283" t="n">
        <x:v>0</x:v>
      </x:c>
      <x:c r="G283" t="str">
        <x:v>Within Project</x:v>
      </x:c>
      <x:c r="H283" t="str">
        <x:v>Reconstructed from approved narrative/logic</x:v>
      </x:c>
    </x:row>
    <x:row r="284" ht="21" customHeight="1">
      <x:c r="A284" t="str">
        <x:v>R0295</x:v>
      </x:c>
      <x:c r="B284" t="str">
        <x:v>P08</x:v>
      </x:c>
      <x:c r="C284" t="str">
        <x:v>P08-M2</x:v>
      </x:c>
      <x:c r="D284" t="str">
        <x:v>P08-A13</x:v>
      </x:c>
      <x:c r="E284" t="str">
        <x:v>FS</x:v>
      </x:c>
      <x:c r="F284" t="n">
        <x:v>0</x:v>
      </x:c>
      <x:c r="G284" t="str">
        <x:v>Within Project</x:v>
      </x:c>
      <x:c r="H284" t="str">
        <x:v>Reconstructed from approved narrative/logic</x:v>
      </x:c>
    </x:row>
    <x:row r="285" ht="21" customHeight="1">
      <x:c r="A285" t="str">
        <x:v>R0296</x:v>
      </x:c>
      <x:c r="B285" t="str">
        <x:v>P08</x:v>
      </x:c>
      <x:c r="C285" t="str">
        <x:v>P08-M2</x:v>
      </x:c>
      <x:c r="D285" t="str">
        <x:v>P08-A14</x:v>
      </x:c>
      <x:c r="E285" t="str">
        <x:v>FS</x:v>
      </x:c>
      <x:c r="F285" t="n">
        <x:v>0</x:v>
      </x:c>
      <x:c r="G285" t="str">
        <x:v>Within Project</x:v>
      </x:c>
      <x:c r="H285" t="str">
        <x:v>Reconstructed from approved narrative/logic</x:v>
      </x:c>
    </x:row>
    <x:row r="286" ht="21" customHeight="1">
      <x:c r="A286" t="str">
        <x:v>R0297</x:v>
      </x:c>
      <x:c r="B286" t="str">
        <x:v>P08</x:v>
      </x:c>
      <x:c r="C286" t="str">
        <x:v>P08-A8</x:v>
      </x:c>
      <x:c r="D286" t="str">
        <x:v>P08-A9</x:v>
      </x:c>
      <x:c r="E286" t="str">
        <x:v>FS</x:v>
      </x:c>
      <x:c r="F286" t="n">
        <x:v>0</x:v>
      </x:c>
      <x:c r="G286" t="str">
        <x:v>Within Project</x:v>
      </x:c>
      <x:c r="H286" t="str">
        <x:v>Reconstructed from approved narrative/logic</x:v>
      </x:c>
    </x:row>
    <x:row r="287" ht="21" customHeight="1">
      <x:c r="A287" t="str">
        <x:v>R0298</x:v>
      </x:c>
      <x:c r="B287" t="str">
        <x:v>P08</x:v>
      </x:c>
      <x:c r="C287" t="str">
        <x:v>P08-A9</x:v>
      </x:c>
      <x:c r="D287" t="str">
        <x:v>P08-A9fat</x:v>
      </x:c>
      <x:c r="E287" t="str">
        <x:v>FS</x:v>
      </x:c>
      <x:c r="F287" t="n">
        <x:v>0</x:v>
      </x:c>
      <x:c r="G287" t="str">
        <x:v>Within Project</x:v>
      </x:c>
      <x:c r="H287" t="str">
        <x:v>Reconstructed from approved narrative/logic</x:v>
      </x:c>
    </x:row>
    <x:row r="288" ht="21" customHeight="1">
      <x:c r="A288" t="str">
        <x:v>R0299</x:v>
      </x:c>
      <x:c r="B288" t="str">
        <x:v>P08</x:v>
      </x:c>
      <x:c r="C288" t="str">
        <x:v>P08-A9fat</x:v>
      </x:c>
      <x:c r="D288" t="str">
        <x:v>P08-A11</x:v>
      </x:c>
      <x:c r="E288" t="str">
        <x:v>FS</x:v>
      </x:c>
      <x:c r="F288" t="n">
        <x:v>0</x:v>
      </x:c>
      <x:c r="G288" t="str">
        <x:v>Within Project</x:v>
      </x:c>
      <x:c r="H288" t="str">
        <x:v>Reconstructed from approved narrative/logic</x:v>
      </x:c>
    </x:row>
    <x:row r="289" ht="21" customHeight="1">
      <x:c r="A289" t="str">
        <x:v>R0300</x:v>
      </x:c>
      <x:c r="B289" t="str">
        <x:v>P08</x:v>
      </x:c>
      <x:c r="C289" t="str">
        <x:v>P08-A8</x:v>
      </x:c>
      <x:c r="D289" t="str">
        <x:v>P08-A10</x:v>
      </x:c>
      <x:c r="E289" t="str">
        <x:v>FS</x:v>
      </x:c>
      <x:c r="F289" t="n">
        <x:v>0</x:v>
      </x:c>
      <x:c r="G289" t="str">
        <x:v>Within Project</x:v>
      </x:c>
      <x:c r="H289" t="str">
        <x:v>Reconstructed from approved narrative/logic</x:v>
      </x:c>
    </x:row>
    <x:row r="290" ht="21" customHeight="1">
      <x:c r="A290" t="str">
        <x:v>R0301</x:v>
      </x:c>
      <x:c r="B290" t="str">
        <x:v>P08</x:v>
      </x:c>
      <x:c r="C290" t="str">
        <x:v>P08-A10</x:v>
      </x:c>
      <x:c r="D290" t="str">
        <x:v>P08-A10fat</x:v>
      </x:c>
      <x:c r="E290" t="str">
        <x:v>FS</x:v>
      </x:c>
      <x:c r="F290" t="n">
        <x:v>0</x:v>
      </x:c>
      <x:c r="G290" t="str">
        <x:v>Within Project</x:v>
      </x:c>
      <x:c r="H290" t="str">
        <x:v>Reconstructed from approved narrative/logic</x:v>
      </x:c>
    </x:row>
    <x:row r="291" ht="21" customHeight="1">
      <x:c r="A291" t="str">
        <x:v>R0302</x:v>
      </x:c>
      <x:c r="B291" t="str">
        <x:v>P08</x:v>
      </x:c>
      <x:c r="C291" t="str">
        <x:v>P08-A10fat</x:v>
      </x:c>
      <x:c r="D291" t="str">
        <x:v>P08-A12</x:v>
      </x:c>
      <x:c r="E291" t="str">
        <x:v>FS</x:v>
      </x:c>
      <x:c r="F291" t="n">
        <x:v>0</x:v>
      </x:c>
      <x:c r="G291" t="str">
        <x:v>Within Project</x:v>
      </x:c>
      <x:c r="H291" t="str">
        <x:v>Reconstructed from approved narrative/logic</x:v>
      </x:c>
    </x:row>
    <x:row r="292" ht="21" customHeight="1">
      <x:c r="A292" t="str">
        <x:v>R0303</x:v>
      </x:c>
      <x:c r="B292" t="str">
        <x:v>P08</x:v>
      </x:c>
      <x:c r="C292" t="str">
        <x:v>P08-A14</x:v>
      </x:c>
      <x:c r="D292" t="str">
        <x:v>P08-MOUTAGE</x:v>
      </x:c>
      <x:c r="E292" t="str">
        <x:v>FS</x:v>
      </x:c>
      <x:c r="F292" t="n">
        <x:v>0</x:v>
      </x:c>
      <x:c r="G292" t="str">
        <x:v>Within Project</x:v>
      </x:c>
      <x:c r="H292" t="str">
        <x:v>Reconstructed from approved narrative/logic</x:v>
      </x:c>
    </x:row>
    <x:row r="293" ht="21" customHeight="1">
      <x:c r="A293" t="str">
        <x:v>R0304</x:v>
      </x:c>
      <x:c r="B293" t="str">
        <x:v>P08</x:v>
      </x:c>
      <x:c r="C293" t="str">
        <x:v>P08-A13</x:v>
      </x:c>
      <x:c r="D293" t="str">
        <x:v>P08-A15</x:v>
      </x:c>
      <x:c r="E293" t="str">
        <x:v>FS</x:v>
      </x:c>
      <x:c r="F293" t="n">
        <x:v>0</x:v>
      </x:c>
      <x:c r="G293" t="str">
        <x:v>Within Project</x:v>
      </x:c>
      <x:c r="H293" t="str">
        <x:v>Reconstructed from approved narrative/logic</x:v>
      </x:c>
    </x:row>
    <x:row r="294" ht="21" customHeight="1">
      <x:c r="A294" t="str">
        <x:v>R0305</x:v>
      </x:c>
      <x:c r="B294" t="str">
        <x:v>P08</x:v>
      </x:c>
      <x:c r="C294" t="str">
        <x:v>P08-A11</x:v>
      </x:c>
      <x:c r="D294" t="str">
        <x:v>P08-A15</x:v>
      </x:c>
      <x:c r="E294" t="str">
        <x:v>FS</x:v>
      </x:c>
      <x:c r="F294" t="n">
        <x:v>0</x:v>
      </x:c>
      <x:c r="G294" t="str">
        <x:v>Within Project</x:v>
      </x:c>
      <x:c r="H294" t="str">
        <x:v>Reconstructed from approved narrative/logic</x:v>
      </x:c>
    </x:row>
    <x:row r="295" ht="21" customHeight="1">
      <x:c r="A295" t="str">
        <x:v>R0306</x:v>
      </x:c>
      <x:c r="B295" t="str">
        <x:v>P08</x:v>
      </x:c>
      <x:c r="C295" t="str">
        <x:v>P08-A14</x:v>
      </x:c>
      <x:c r="D295" t="str">
        <x:v>P08-A15</x:v>
      </x:c>
      <x:c r="E295" t="str">
        <x:v>FS</x:v>
      </x:c>
      <x:c r="F295" t="n">
        <x:v>0</x:v>
      </x:c>
      <x:c r="G295" t="str">
        <x:v>Within Project</x:v>
      </x:c>
      <x:c r="H295" t="str">
        <x:v>Reconstructed from approved narrative/logic</x:v>
      </x:c>
    </x:row>
    <x:row r="296" ht="21" customHeight="1">
      <x:c r="A296" t="str">
        <x:v>R0307</x:v>
      </x:c>
      <x:c r="B296" t="str">
        <x:v>P08</x:v>
      </x:c>
      <x:c r="C296" t="str">
        <x:v>P08-A13</x:v>
      </x:c>
      <x:c r="D296" t="str">
        <x:v>P08-A16</x:v>
      </x:c>
      <x:c r="E296" t="str">
        <x:v>FS</x:v>
      </x:c>
      <x:c r="F296" t="n">
        <x:v>0</x:v>
      </x:c>
      <x:c r="G296" t="str">
        <x:v>Within Project</x:v>
      </x:c>
      <x:c r="H296" t="str">
        <x:v>Reconstructed from approved narrative/logic</x:v>
      </x:c>
    </x:row>
    <x:row r="297" ht="21" customHeight="1">
      <x:c r="A297" t="str">
        <x:v>R0308</x:v>
      </x:c>
      <x:c r="B297" t="str">
        <x:v>P08</x:v>
      </x:c>
      <x:c r="C297" t="str">
        <x:v>P08-A12</x:v>
      </x:c>
      <x:c r="D297" t="str">
        <x:v>P08-A16</x:v>
      </x:c>
      <x:c r="E297" t="str">
        <x:v>FS</x:v>
      </x:c>
      <x:c r="F297" t="n">
        <x:v>0</x:v>
      </x:c>
      <x:c r="G297" t="str">
        <x:v>Within Project</x:v>
      </x:c>
      <x:c r="H297" t="str">
        <x:v>Reconstructed from approved narrative/logic</x:v>
      </x:c>
    </x:row>
    <x:row r="298" ht="21" customHeight="1">
      <x:c r="A298" t="str">
        <x:v>R0309</x:v>
      </x:c>
      <x:c r="B298" t="str">
        <x:v>P08</x:v>
      </x:c>
      <x:c r="C298" t="str">
        <x:v>P08-A14</x:v>
      </x:c>
      <x:c r="D298" t="str">
        <x:v>P08-A16</x:v>
      </x:c>
      <x:c r="E298" t="str">
        <x:v>FS</x:v>
      </x:c>
      <x:c r="F298" t="n">
        <x:v>0</x:v>
      </x:c>
      <x:c r="G298" t="str">
        <x:v>Within Project</x:v>
      </x:c>
      <x:c r="H298" t="str">
        <x:v>Reconstructed from approved narrative/logic</x:v>
      </x:c>
    </x:row>
    <x:row r="299" ht="21" customHeight="1">
      <x:c r="A299" t="str">
        <x:v>R0310</x:v>
      </x:c>
      <x:c r="B299" t="str">
        <x:v>P08</x:v>
      </x:c>
      <x:c r="C299" t="str">
        <x:v>P08-A15</x:v>
      </x:c>
      <x:c r="D299" t="str">
        <x:v>P08-A17</x:v>
      </x:c>
      <x:c r="E299" t="str">
        <x:v>FS</x:v>
      </x:c>
      <x:c r="F299" t="n">
        <x:v>0</x:v>
      </x:c>
      <x:c r="G299" t="str">
        <x:v>Within Project</x:v>
      </x:c>
      <x:c r="H299" t="str">
        <x:v>Reconstructed from approved narrative/logic</x:v>
      </x:c>
    </x:row>
    <x:row r="300" ht="21" customHeight="1">
      <x:c r="A300" t="str">
        <x:v>R0311</x:v>
      </x:c>
      <x:c r="B300" t="str">
        <x:v>P08</x:v>
      </x:c>
      <x:c r="C300" t="str">
        <x:v>P08-A16</x:v>
      </x:c>
      <x:c r="D300" t="str">
        <x:v>P08-A17</x:v>
      </x:c>
      <x:c r="E300" t="str">
        <x:v>FS</x:v>
      </x:c>
      <x:c r="F300" t="n">
        <x:v>0</x:v>
      </x:c>
      <x:c r="G300" t="str">
        <x:v>Within Project</x:v>
      </x:c>
      <x:c r="H300" t="str">
        <x:v>Reconstructed from approved narrative/logic</x:v>
      </x:c>
    </x:row>
    <x:row r="301" ht="21" customHeight="1">
      <x:c r="A301" t="str">
        <x:v>R0312</x:v>
      </x:c>
      <x:c r="B301" t="str">
        <x:v>P08</x:v>
      </x:c>
      <x:c r="C301" t="str">
        <x:v>P08-A17</x:v>
      </x:c>
      <x:c r="D301" t="str">
        <x:v>P08-A18</x:v>
      </x:c>
      <x:c r="E301" t="str">
        <x:v>FS</x:v>
      </x:c>
      <x:c r="F301" t="n">
        <x:v>0</x:v>
      </x:c>
      <x:c r="G301" t="str">
        <x:v>Within Project</x:v>
      </x:c>
      <x:c r="H301" t="str">
        <x:v>Reconstructed from approved narrative/logic</x:v>
      </x:c>
    </x:row>
    <x:row r="302" ht="21" customHeight="1">
      <x:c r="A302" t="str">
        <x:v>R0313</x:v>
      </x:c>
      <x:c r="B302" t="str">
        <x:v>P08</x:v>
      </x:c>
      <x:c r="C302" t="str">
        <x:v>P08-A18</x:v>
      </x:c>
      <x:c r="D302" t="str">
        <x:v>P08-A19</x:v>
      </x:c>
      <x:c r="E302" t="str">
        <x:v>FS</x:v>
      </x:c>
      <x:c r="F302" t="n">
        <x:v>0</x:v>
      </x:c>
      <x:c r="G302" t="str">
        <x:v>Within Project</x:v>
      </x:c>
      <x:c r="H302" t="str">
        <x:v>Reconstructed from approved narrative/logic</x:v>
      </x:c>
    </x:row>
    <x:row r="303" ht="21" customHeight="1">
      <x:c r="A303" t="str">
        <x:v>R0314</x:v>
      </x:c>
      <x:c r="B303" t="str">
        <x:v>P08</x:v>
      </x:c>
      <x:c r="C303" t="str">
        <x:v>P08-A19</x:v>
      </x:c>
      <x:c r="D303" t="str">
        <x:v>P08-A20</x:v>
      </x:c>
      <x:c r="E303" t="str">
        <x:v>FS</x:v>
      </x:c>
      <x:c r="F303" t="n">
        <x:v>0</x:v>
      </x:c>
      <x:c r="G303" t="str">
        <x:v>Within Project</x:v>
      </x:c>
      <x:c r="H303" t="str">
        <x:v>Reconstructed from approved narrative/logic</x:v>
      </x:c>
    </x:row>
    <x:row r="304" ht="21" customHeight="1">
      <x:c r="A304" t="str">
        <x:v>R0315</x:v>
      </x:c>
      <x:c r="B304" t="str">
        <x:v>P08</x:v>
      </x:c>
      <x:c r="C304" t="str">
        <x:v>P08-A20</x:v>
      </x:c>
      <x:c r="D304" t="str">
        <x:v>P08-A21</x:v>
      </x:c>
      <x:c r="E304" t="str">
        <x:v>FS</x:v>
      </x:c>
      <x:c r="F304" t="n">
        <x:v>0</x:v>
      </x:c>
      <x:c r="G304" t="str">
        <x:v>Within Project</x:v>
      </x:c>
      <x:c r="H304" t="str">
        <x:v>Reconstructed from approved narrative/logic</x:v>
      </x:c>
    </x:row>
    <x:row r="305" ht="21" customHeight="1">
      <x:c r="A305" t="str">
        <x:v>R0316</x:v>
      </x:c>
      <x:c r="B305" t="str">
        <x:v>P08</x:v>
      </x:c>
      <x:c r="C305" t="str">
        <x:v>P08-A18</x:v>
      </x:c>
      <x:c r="D305" t="str">
        <x:v>P08-MSTART</x:v>
      </x:c>
      <x:c r="E305" t="str">
        <x:v>FS</x:v>
      </x:c>
      <x:c r="F305" t="n">
        <x:v>0</x:v>
      </x:c>
      <x:c r="G305" t="str">
        <x:v>Within Project</x:v>
      </x:c>
      <x:c r="H305" t="str">
        <x:v>Reconstructed from approved narrative/logic</x:v>
      </x:c>
    </x:row>
    <x:row r="306" ht="21" customHeight="1">
      <x:c r="A306" t="str">
        <x:v>R0317</x:v>
      </x:c>
      <x:c r="B306" t="str">
        <x:v>P08</x:v>
      </x:c>
      <x:c r="C306" t="str">
        <x:v>P08-A20</x:v>
      </x:c>
      <x:c r="D306" t="str">
        <x:v>P08-MOPACC</x:v>
      </x:c>
      <x:c r="E306" t="str">
        <x:v>FS</x:v>
      </x:c>
      <x:c r="F306" t="n">
        <x:v>0</x:v>
      </x:c>
      <x:c r="G306" t="str">
        <x:v>Within Project</x:v>
      </x:c>
      <x:c r="H306" t="str">
        <x:v>Reconstructed from approved narrative/logic</x:v>
      </x:c>
    </x:row>
    <x:row r="307" ht="21" customHeight="1">
      <x:c r="A307" t="str">
        <x:v>R0318</x:v>
      </x:c>
      <x:c r="B307" t="str">
        <x:v>P08</x:v>
      </x:c>
      <x:c r="C307" t="str">
        <x:v>P08-A21</x:v>
      </x:c>
      <x:c r="D307" t="str">
        <x:v>P08-M3</x:v>
      </x:c>
      <x:c r="E307" t="str">
        <x:v>FS</x:v>
      </x:c>
      <x:c r="F307" t="n">
        <x:v>0</x:v>
      </x:c>
      <x:c r="G307" t="str">
        <x:v>Within Project</x:v>
      </x:c>
      <x:c r="H307" t="str">
        <x:v>Reconstructed from approved narrative/logic</x:v>
      </x:c>
    </x:row>
    <x:row r="308" ht="21" customHeight="1">
      <x:c r="A308" t="str">
        <x:v>R0319</x:v>
      </x:c>
      <x:c r="B308" t="str">
        <x:v>P08</x:v>
      </x:c>
      <x:c r="C308" t="str">
        <x:v>P08-A21</x:v>
      </x:c>
      <x:c r="D308" t="str">
        <x:v>P08-A22</x:v>
      </x:c>
      <x:c r="E308" t="str">
        <x:v>FS</x:v>
      </x:c>
      <x:c r="F308" t="n">
        <x:v>0</x:v>
      </x:c>
      <x:c r="G308" t="str">
        <x:v>Within Project</x:v>
      </x:c>
      <x:c r="H308" t="str">
        <x:v>Reconstructed from approved narrative/logic</x:v>
      </x:c>
    </x:row>
    <x:row r="309" ht="21" customHeight="1">
      <x:c r="A309" t="str">
        <x:v>R0320</x:v>
      </x:c>
      <x:c r="B309" t="str">
        <x:v>P08</x:v>
      </x:c>
      <x:c r="C309" t="str">
        <x:v>P08-A22</x:v>
      </x:c>
      <x:c r="D309" t="str">
        <x:v>P08-A23</x:v>
      </x:c>
      <x:c r="E309" t="str">
        <x:v>SS</x:v>
      </x:c>
      <x:c r="F309" t="n">
        <x:v>5</x:v>
      </x:c>
      <x:c r="G309" t="str">
        <x:v>Within Project</x:v>
      </x:c>
      <x:c r="H309" t="str">
        <x:v>Recovered by reconciliation to approved M3/M4 dates and published closeout durations</x:v>
      </x:c>
    </x:row>
    <x:row r="310" ht="21" customHeight="1">
      <x:c r="A310" t="str">
        <x:v>R0321</x:v>
      </x:c>
      <x:c r="B310" t="str">
        <x:v>P08</x:v>
      </x:c>
      <x:c r="C310" t="str">
        <x:v>P08-A21</x:v>
      </x:c>
      <x:c r="D310" t="str">
        <x:v>P08-A23</x:v>
      </x:c>
      <x:c r="E310" t="str">
        <x:v>FF</x:v>
      </x:c>
      <x:c r="F310" t="n">
        <x:v>0</x:v>
      </x:c>
      <x:c r="G310" t="str">
        <x:v>Within Project</x:v>
      </x:c>
      <x:c r="H310" t="str">
        <x:v>Reconstructed from approved narrative/logic</x:v>
      </x:c>
    </x:row>
    <x:row r="311" ht="21" customHeight="1">
      <x:c r="A311" t="str">
        <x:v>R0322</x:v>
      </x:c>
      <x:c r="B311" t="str">
        <x:v>P08</x:v>
      </x:c>
      <x:c r="C311" t="str">
        <x:v>P08-A23</x:v>
      </x:c>
      <x:c r="D311" t="str">
        <x:v>P08-M4</x:v>
      </x:c>
      <x:c r="E311" t="str">
        <x:v>FS</x:v>
      </x:c>
      <x:c r="F311" t="n">
        <x:v>0</x:v>
      </x:c>
      <x:c r="G311" t="str">
        <x:v>Within Project</x:v>
      </x:c>
      <x:c r="H311" t="str">
        <x:v>Reconstructed from approved narrative/logic</x:v>
      </x:c>
    </x:row>
    <x:row r="312" ht="21" customHeight="1">
      <x:c r="A312" t="str">
        <x:v>R0323</x:v>
      </x:c>
      <x:c r="B312" t="str">
        <x:v>P08</x:v>
      </x:c>
      <x:c r="C312" t="str">
        <x:v>P08-M1</x:v>
      </x:c>
      <x:c r="D312" t="str">
        <x:v>P08-I-P08-01</x:v>
      </x:c>
      <x:c r="E312" t="str">
        <x:v>FS</x:v>
      </x:c>
      <x:c r="F312" t="n">
        <x:v>0</x:v>
      </x:c>
      <x:c r="G312" t="str">
        <x:v>Within Project</x:v>
      </x:c>
      <x:c r="H312" t="str">
        <x:v>Reconstructed from approved narrative/logic</x:v>
      </x:c>
    </x:row>
    <x:row r="313" ht="21" customHeight="1">
      <x:c r="A313" t="str">
        <x:v>R0324</x:v>
      </x:c>
      <x:c r="B313" t="str">
        <x:v>P08</x:v>
      </x:c>
      <x:c r="C313" t="str">
        <x:v>P08-A8</x:v>
      </x:c>
      <x:c r="D313" t="str">
        <x:v>P08-I-P08-02</x:v>
      </x:c>
      <x:c r="E313" t="str">
        <x:v>FS</x:v>
      </x:c>
      <x:c r="F313" t="n">
        <x:v>0</x:v>
      </x:c>
      <x:c r="G313" t="str">
        <x:v>Within Project</x:v>
      </x:c>
      <x:c r="H313" t="str">
        <x:v>Reconstructed from approved narrative/logic</x:v>
      </x:c>
    </x:row>
    <x:row r="314" ht="21" customHeight="1">
      <x:c r="A314" t="str">
        <x:v>R0325</x:v>
      </x:c>
      <x:c r="B314" t="str">
        <x:v>P08</x:v>
      </x:c>
      <x:c r="C314" t="str">
        <x:v>P08-MSTART</x:v>
      </x:c>
      <x:c r="D314" t="str">
        <x:v>P08-I-P08-03</x:v>
      </x:c>
      <x:c r="E314" t="str">
        <x:v>FS</x:v>
      </x:c>
      <x:c r="F314" t="n">
        <x:v>0</x:v>
      </x:c>
      <x:c r="G314" t="str">
        <x:v>Within Project</x:v>
      </x:c>
      <x:c r="H314" t="str">
        <x:v>Reconstructed from approved narrative/logic</x:v>
      </x:c>
    </x:row>
    <x:row r="315" ht="21" customHeight="1">
      <x:c r="A315" t="str">
        <x:v>R0326</x:v>
      </x:c>
      <x:c r="B315" t="str">
        <x:v>P09</x:v>
      </x:c>
      <x:c r="C315" t="str">
        <x:v>P09-A1</x:v>
      </x:c>
      <x:c r="D315" t="str">
        <x:v>P09-A2</x:v>
      </x:c>
      <x:c r="E315" t="str">
        <x:v>FS</x:v>
      </x:c>
      <x:c r="F315" t="n">
        <x:v>0</x:v>
      </x:c>
      <x:c r="G315" t="str">
        <x:v>Within Project</x:v>
      </x:c>
      <x:c r="H315" t="str">
        <x:v>Reconstructed from approved narrative/logic</x:v>
      </x:c>
    </x:row>
    <x:row r="316" ht="21" customHeight="1">
      <x:c r="A316" t="str">
        <x:v>R0327</x:v>
      </x:c>
      <x:c r="B316" t="str">
        <x:v>P09</x:v>
      </x:c>
      <x:c r="C316" t="str">
        <x:v>P09-A2</x:v>
      </x:c>
      <x:c r="D316" t="str">
        <x:v>P09-A3a</x:v>
      </x:c>
      <x:c r="E316" t="str">
        <x:v>FS</x:v>
      </x:c>
      <x:c r="F316" t="n">
        <x:v>0</x:v>
      </x:c>
      <x:c r="G316" t="str">
        <x:v>Within Project</x:v>
      </x:c>
      <x:c r="H316" t="str">
        <x:v>Reconstructed from approved narrative/logic</x:v>
      </x:c>
    </x:row>
    <x:row r="317" ht="21" customHeight="1">
      <x:c r="A317" t="str">
        <x:v>R0328</x:v>
      </x:c>
      <x:c r="B317" t="str">
        <x:v>P09</x:v>
      </x:c>
      <x:c r="C317" t="str">
        <x:v>P09-A3a</x:v>
      </x:c>
      <x:c r="D317" t="str">
        <x:v>P09-A3</x:v>
      </x:c>
      <x:c r="E317" t="str">
        <x:v>FS</x:v>
      </x:c>
      <x:c r="F317" t="n">
        <x:v>0</x:v>
      </x:c>
      <x:c r="G317" t="str">
        <x:v>Within Project</x:v>
      </x:c>
      <x:c r="H317" t="str">
        <x:v>Reconstructed from approved narrative/logic</x:v>
      </x:c>
    </x:row>
    <x:row r="318" ht="21" customHeight="1">
      <x:c r="A318" t="str">
        <x:v>R0329</x:v>
      </x:c>
      <x:c r="B318" t="str">
        <x:v>P09</x:v>
      </x:c>
      <x:c r="C318" t="str">
        <x:v>P09-A3</x:v>
      </x:c>
      <x:c r="D318" t="str">
        <x:v>P09-A4</x:v>
      </x:c>
      <x:c r="E318" t="str">
        <x:v>FS</x:v>
      </x:c>
      <x:c r="F318" t="n">
        <x:v>5</x:v>
      </x:c>
      <x:c r="G318" t="str">
        <x:v>Within Project</x:v>
      </x:c>
      <x:c r="H318" t="str">
        <x:v>Reconstructed from approved narrative/logic</x:v>
      </x:c>
    </x:row>
    <x:row r="319" ht="21" customHeight="1">
      <x:c r="A319" t="str">
        <x:v>R0330</x:v>
      </x:c>
      <x:c r="B319" t="str">
        <x:v>P09</x:v>
      </x:c>
      <x:c r="C319" t="str">
        <x:v>P09-A4</x:v>
      </x:c>
      <x:c r="D319" t="str">
        <x:v>P09-M1</x:v>
      </x:c>
      <x:c r="E319" t="str">
        <x:v>FS</x:v>
      </x:c>
      <x:c r="F319" t="n">
        <x:v>0</x:v>
      </x:c>
      <x:c r="G319" t="str">
        <x:v>Within Project</x:v>
      </x:c>
      <x:c r="H319" t="str">
        <x:v>Reconstructed from approved narrative/logic</x:v>
      </x:c>
    </x:row>
    <x:row r="320" ht="21" customHeight="1">
      <x:c r="A320" t="str">
        <x:v>R0331</x:v>
      </x:c>
      <x:c r="B320" t="str">
        <x:v>P09</x:v>
      </x:c>
      <x:c r="C320" t="str">
        <x:v>P09-A4</x:v>
      </x:c>
      <x:c r="D320" t="str">
        <x:v>P09-A4b</x:v>
      </x:c>
      <x:c r="E320" t="str">
        <x:v>FS</x:v>
      </x:c>
      <x:c r="F320" t="n">
        <x:v>0</x:v>
      </x:c>
      <x:c r="G320" t="str">
        <x:v>Within Project</x:v>
      </x:c>
      <x:c r="H320" t="str">
        <x:v>Reconstructed from approved narrative/logic</x:v>
      </x:c>
    </x:row>
    <x:row r="321" ht="21" customHeight="1">
      <x:c r="A321" t="str">
        <x:v>R0332</x:v>
      </x:c>
      <x:c r="B321" t="str">
        <x:v>P09</x:v>
      </x:c>
      <x:c r="C321" t="str">
        <x:v>P09-A4</x:v>
      </x:c>
      <x:c r="D321" t="str">
        <x:v>P09-A4c</x:v>
      </x:c>
      <x:c r="E321" t="str">
        <x:v>FS</x:v>
      </x:c>
      <x:c r="F321" t="n">
        <x:v>0</x:v>
      </x:c>
      <x:c r="G321" t="str">
        <x:v>Within Project</x:v>
      </x:c>
      <x:c r="H321" t="str">
        <x:v>Reconstructed from approved narrative/logic</x:v>
      </x:c>
    </x:row>
    <x:row r="322" ht="21" customHeight="1">
      <x:c r="A322" t="str">
        <x:v>R0333</x:v>
      </x:c>
      <x:c r="B322" t="str">
        <x:v>P09</x:v>
      </x:c>
      <x:c r="C322" t="str">
        <x:v>P09-A4</x:v>
      </x:c>
      <x:c r="D322" t="str">
        <x:v>P09-A5</x:v>
      </x:c>
      <x:c r="E322" t="str">
        <x:v>SS</x:v>
      </x:c>
      <x:c r="F322" t="n">
        <x:v>10</x:v>
      </x:c>
      <x:c r="G322" t="str">
        <x:v>Within Project</x:v>
      </x:c>
      <x:c r="H322" t="str">
        <x:v>Reconstructed from approved narrative/logic</x:v>
      </x:c>
    </x:row>
    <x:row r="323" ht="21" customHeight="1">
      <x:c r="A323" t="str">
        <x:v>R0334</x:v>
      </x:c>
      <x:c r="B323" t="str">
        <x:v>P09</x:v>
      </x:c>
      <x:c r="C323" t="str">
        <x:v>P09-A5</x:v>
      </x:c>
      <x:c r="D323" t="str">
        <x:v>P09-A5b</x:v>
      </x:c>
      <x:c r="E323" t="str">
        <x:v>FS</x:v>
      </x:c>
      <x:c r="F323" t="n">
        <x:v>0</x:v>
      </x:c>
      <x:c r="G323" t="str">
        <x:v>Within Project</x:v>
      </x:c>
      <x:c r="H323" t="str">
        <x:v>Reconstructed from approved narrative/logic</x:v>
      </x:c>
    </x:row>
    <x:row r="324" ht="21" customHeight="1">
      <x:c r="A324" t="str">
        <x:v>R0335</x:v>
      </x:c>
      <x:c r="B324" t="str">
        <x:v>P09</x:v>
      </x:c>
      <x:c r="C324" t="str">
        <x:v>P09-A5b</x:v>
      </x:c>
      <x:c r="D324" t="str">
        <x:v>P09-A5c</x:v>
      </x:c>
      <x:c r="E324" t="str">
        <x:v>FS</x:v>
      </x:c>
      <x:c r="F324" t="n">
        <x:v>0</x:v>
      </x:c>
      <x:c r="G324" t="str">
        <x:v>Within Project</x:v>
      </x:c>
      <x:c r="H324" t="str">
        <x:v>Reconstructed from approved narrative/logic</x:v>
      </x:c>
    </x:row>
    <x:row r="325" ht="21" customHeight="1">
      <x:c r="A325" t="str">
        <x:v>R0336</x:v>
      </x:c>
      <x:c r="B325" t="str">
        <x:v>P09</x:v>
      </x:c>
      <x:c r="C325" t="str">
        <x:v>P09-A4c</x:v>
      </x:c>
      <x:c r="D325" t="str">
        <x:v>P09-MPERMIT</x:v>
      </x:c>
      <x:c r="E325" t="str">
        <x:v>FS</x:v>
      </x:c>
      <x:c r="F325" t="n">
        <x:v>0</x:v>
      </x:c>
      <x:c r="G325" t="str">
        <x:v>Within Project</x:v>
      </x:c>
      <x:c r="H325" t="str">
        <x:v>Reconstructed from approved narrative/logic</x:v>
      </x:c>
    </x:row>
    <x:row r="326" ht="21" customHeight="1">
      <x:c r="A326" t="str">
        <x:v>R0337</x:v>
      </x:c>
      <x:c r="B326" t="str">
        <x:v>P09</x:v>
      </x:c>
      <x:c r="C326" t="str">
        <x:v>P09-A5c</x:v>
      </x:c>
      <x:c r="D326" t="str">
        <x:v>P09-M2</x:v>
      </x:c>
      <x:c r="E326" t="str">
        <x:v>FS</x:v>
      </x:c>
      <x:c r="F326" t="n">
        <x:v>0</x:v>
      </x:c>
      <x:c r="G326" t="str">
        <x:v>Within Project</x:v>
      </x:c>
      <x:c r="H326" t="str">
        <x:v>Reconstructed from approved narrative/logic</x:v>
      </x:c>
    </x:row>
    <x:row r="327" ht="21" customHeight="1">
      <x:c r="A327" t="str">
        <x:v>R0338</x:v>
      </x:c>
      <x:c r="B327" t="str">
        <x:v>P09</x:v>
      </x:c>
      <x:c r="C327" t="str">
        <x:v>P09-A4b</x:v>
      </x:c>
      <x:c r="D327" t="str">
        <x:v>P09-M2</x:v>
      </x:c>
      <x:c r="E327" t="str">
        <x:v>FS</x:v>
      </x:c>
      <x:c r="F327" t="n">
        <x:v>0</x:v>
      </x:c>
      <x:c r="G327" t="str">
        <x:v>Within Project</x:v>
      </x:c>
      <x:c r="H327" t="str">
        <x:v>Reconstructed from approved narrative/logic</x:v>
      </x:c>
    </x:row>
    <x:row r="328" ht="21" customHeight="1">
      <x:c r="A328" t="str">
        <x:v>R0339</x:v>
      </x:c>
      <x:c r="B328" t="str">
        <x:v>P09</x:v>
      </x:c>
      <x:c r="C328" t="str">
        <x:v>P09-A4c</x:v>
      </x:c>
      <x:c r="D328" t="str">
        <x:v>P09-M2</x:v>
      </x:c>
      <x:c r="E328" t="str">
        <x:v>FS</x:v>
      </x:c>
      <x:c r="F328" t="n">
        <x:v>0</x:v>
      </x:c>
      <x:c r="G328" t="str">
        <x:v>Within Project</x:v>
      </x:c>
      <x:c r="H328" t="str">
        <x:v>Reconstructed from approved narrative/logic</x:v>
      </x:c>
    </x:row>
    <x:row r="329" ht="21" customHeight="1">
      <x:c r="A329" t="str">
        <x:v>R0340</x:v>
      </x:c>
      <x:c r="B329" t="str">
        <x:v>P09</x:v>
      </x:c>
      <x:c r="C329" t="str">
        <x:v>P09-M2</x:v>
      </x:c>
      <x:c r="D329" t="str">
        <x:v>P09-A6</x:v>
      </x:c>
      <x:c r="E329" t="str">
        <x:v>FS</x:v>
      </x:c>
      <x:c r="F329" t="n">
        <x:v>0</x:v>
      </x:c>
      <x:c r="G329" t="str">
        <x:v>Within Project</x:v>
      </x:c>
      <x:c r="H329" t="str">
        <x:v>Reconstructed from approved narrative/logic</x:v>
      </x:c>
    </x:row>
    <x:row r="330" ht="21" customHeight="1">
      <x:c r="A330" t="str">
        <x:v>R0341</x:v>
      </x:c>
      <x:c r="B330" t="str">
        <x:v>P09</x:v>
      </x:c>
      <x:c r="C330" t="str">
        <x:v>P09-M2</x:v>
      </x:c>
      <x:c r="D330" t="str">
        <x:v>P09-A7</x:v>
      </x:c>
      <x:c r="E330" t="str">
        <x:v>FS</x:v>
      </x:c>
      <x:c r="F330" t="n">
        <x:v>0</x:v>
      </x:c>
      <x:c r="G330" t="str">
        <x:v>Within Project</x:v>
      </x:c>
      <x:c r="H330" t="str">
        <x:v>Reconstructed from approved narrative/logic</x:v>
      </x:c>
    </x:row>
    <x:row r="331" ht="21" customHeight="1">
      <x:c r="A331" t="str">
        <x:v>R0342</x:v>
      </x:c>
      <x:c r="B331" t="str">
        <x:v>P09</x:v>
      </x:c>
      <x:c r="C331" t="str">
        <x:v>P09-M2</x:v>
      </x:c>
      <x:c r="D331" t="str">
        <x:v>P09-A8</x:v>
      </x:c>
      <x:c r="E331" t="str">
        <x:v>FS</x:v>
      </x:c>
      <x:c r="F331" t="n">
        <x:v>0</x:v>
      </x:c>
      <x:c r="G331" t="str">
        <x:v>Within Project</x:v>
      </x:c>
      <x:c r="H331" t="str">
        <x:v>Reconstructed from approved narrative/logic</x:v>
      </x:c>
    </x:row>
    <x:row r="332" ht="21" customHeight="1">
      <x:c r="A332" t="str">
        <x:v>R0343</x:v>
      </x:c>
      <x:c r="B332" t="str">
        <x:v>P09</x:v>
      </x:c>
      <x:c r="C332" t="str">
        <x:v>P09-M2</x:v>
      </x:c>
      <x:c r="D332" t="str">
        <x:v>P09-A10</x:v>
      </x:c>
      <x:c r="E332" t="str">
        <x:v>FS</x:v>
      </x:c>
      <x:c r="F332" t="n">
        <x:v>0</x:v>
      </x:c>
      <x:c r="G332" t="str">
        <x:v>Within Project</x:v>
      </x:c>
      <x:c r="H332" t="str">
        <x:v>Reconstructed from approved narrative/logic</x:v>
      </x:c>
    </x:row>
    <x:row r="333" ht="21" customHeight="1">
      <x:c r="A333" t="str">
        <x:v>R0344</x:v>
      </x:c>
      <x:c r="B333" t="str">
        <x:v>P09</x:v>
      </x:c>
      <x:c r="C333" t="str">
        <x:v>P09-A6</x:v>
      </x:c>
      <x:c r="D333" t="str">
        <x:v>P09-MSPECMOB</x:v>
      </x:c>
      <x:c r="E333" t="str">
        <x:v>FS</x:v>
      </x:c>
      <x:c r="F333" t="n">
        <x:v>0</x:v>
      </x:c>
      <x:c r="G333" t="str">
        <x:v>Within Project</x:v>
      </x:c>
      <x:c r="H333" t="str">
        <x:v>Reconstructed from approved narrative/logic</x:v>
      </x:c>
    </x:row>
    <x:row r="334" ht="21" customHeight="1">
      <x:c r="A334" t="str">
        <x:v>R0345</x:v>
      </x:c>
      <x:c r="B334" t="str">
        <x:v>P09</x:v>
      </x:c>
      <x:c r="C334" t="str">
        <x:v>P09-A10</x:v>
      </x:c>
      <x:c r="D334" t="str">
        <x:v>P09-A11</x:v>
      </x:c>
      <x:c r="E334" t="str">
        <x:v>FS</x:v>
      </x:c>
      <x:c r="F334" t="n">
        <x:v>0</x:v>
      </x:c>
      <x:c r="G334" t="str">
        <x:v>Within Project</x:v>
      </x:c>
      <x:c r="H334" t="str">
        <x:v>Reconstructed from approved narrative/logic</x:v>
      </x:c>
    </x:row>
    <x:row r="335" ht="21" customHeight="1">
      <x:c r="A335" t="str">
        <x:v>R0346</x:v>
      </x:c>
      <x:c r="B335" t="str">
        <x:v>P09</x:v>
      </x:c>
      <x:c r="C335" t="str">
        <x:v>P09-A11</x:v>
      </x:c>
      <x:c r="D335" t="str">
        <x:v>P09-A12</x:v>
      </x:c>
      <x:c r="E335" t="str">
        <x:v>FS</x:v>
      </x:c>
      <x:c r="F335" t="n">
        <x:v>0</x:v>
      </x:c>
      <x:c r="G335" t="str">
        <x:v>Within Project</x:v>
      </x:c>
      <x:c r="H335" t="str">
        <x:v>Reconstructed from approved narrative/logic</x:v>
      </x:c>
    </x:row>
    <x:row r="336" ht="21" customHeight="1">
      <x:c r="A336" t="str">
        <x:v>R0347</x:v>
      </x:c>
      <x:c r="B336" t="str">
        <x:v>P09</x:v>
      </x:c>
      <x:c r="C336" t="str">
        <x:v>P09-A6</x:v>
      </x:c>
      <x:c r="D336" t="str">
        <x:v>P09-A13</x:v>
      </x:c>
      <x:c r="E336" t="str">
        <x:v>FS</x:v>
      </x:c>
      <x:c r="F336" t="n">
        <x:v>0</x:v>
      </x:c>
      <x:c r="G336" t="str">
        <x:v>Within Project</x:v>
      </x:c>
      <x:c r="H336" t="str">
        <x:v>Reconstructed from approved narrative/logic</x:v>
      </x:c>
    </x:row>
    <x:row r="337" ht="21" customHeight="1">
      <x:c r="A337" t="str">
        <x:v>R0348</x:v>
      </x:c>
      <x:c r="B337" t="str">
        <x:v>P09</x:v>
      </x:c>
      <x:c r="C337" t="str">
        <x:v>P09-A7</x:v>
      </x:c>
      <x:c r="D337" t="str">
        <x:v>P09-A13</x:v>
      </x:c>
      <x:c r="E337" t="str">
        <x:v>FS</x:v>
      </x:c>
      <x:c r="F337" t="n">
        <x:v>0</x:v>
      </x:c>
      <x:c r="G337" t="str">
        <x:v>Within Project</x:v>
      </x:c>
      <x:c r="H337" t="str">
        <x:v>Reconstructed from approved narrative/logic</x:v>
      </x:c>
    </x:row>
    <x:row r="338" ht="21" customHeight="1">
      <x:c r="A338" t="str">
        <x:v>R0349</x:v>
      </x:c>
      <x:c r="B338" t="str">
        <x:v>P09</x:v>
      </x:c>
      <x:c r="C338" t="str">
        <x:v>P09-A13</x:v>
      </x:c>
      <x:c r="D338" t="str">
        <x:v>P09-A14</x:v>
      </x:c>
      <x:c r="E338" t="str">
        <x:v>FS</x:v>
      </x:c>
      <x:c r="F338" t="n">
        <x:v>0</x:v>
      </x:c>
      <x:c r="G338" t="str">
        <x:v>Within Project</x:v>
      </x:c>
      <x:c r="H338" t="str">
        <x:v>Reconstructed from approved narrative/logic</x:v>
      </x:c>
    </x:row>
    <x:row r="339" ht="21" customHeight="1">
      <x:c r="A339" t="str">
        <x:v>R0350</x:v>
      </x:c>
      <x:c r="B339" t="str">
        <x:v>P09</x:v>
      </x:c>
      <x:c r="C339" t="str">
        <x:v>P09-A12</x:v>
      </x:c>
      <x:c r="D339" t="str">
        <x:v>P09-A15</x:v>
      </x:c>
      <x:c r="E339" t="str">
        <x:v>FS</x:v>
      </x:c>
      <x:c r="F339" t="n">
        <x:v>0</x:v>
      </x:c>
      <x:c r="G339" t="str">
        <x:v>Within Project</x:v>
      </x:c>
      <x:c r="H339" t="str">
        <x:v>Restored from approved P09 relationship highlight (A14 + A12 -&gt; A15)</x:v>
      </x:c>
    </x:row>
    <x:row r="340" ht="21" customHeight="1">
      <x:c r="A340" t="str">
        <x:v>R0351</x:v>
      </x:c>
      <x:c r="B340" t="str">
        <x:v>P09</x:v>
      </x:c>
      <x:c r="C340" t="str">
        <x:v>P09-A14</x:v>
      </x:c>
      <x:c r="D340" t="str">
        <x:v>P09-A15</x:v>
      </x:c>
      <x:c r="E340" t="str">
        <x:v>FS</x:v>
      </x:c>
      <x:c r="F340" t="n">
        <x:v>0</x:v>
      </x:c>
      <x:c r="G340" t="str">
        <x:v>Within Project</x:v>
      </x:c>
      <x:c r="H340" t="str">
        <x:v>Reconstructed from approved narrative/logic</x:v>
      </x:c>
    </x:row>
    <x:row r="341" ht="21" customHeight="1">
      <x:c r="A341" t="str">
        <x:v>R0352</x:v>
      </x:c>
      <x:c r="B341" t="str">
        <x:v>P09</x:v>
      </x:c>
      <x:c r="C341" t="str">
        <x:v>P09-A15</x:v>
      </x:c>
      <x:c r="D341" t="str">
        <x:v>P09-MCROSSDONE</x:v>
      </x:c>
      <x:c r="E341" t="str">
        <x:v>FS</x:v>
      </x:c>
      <x:c r="F341" t="n">
        <x:v>0</x:v>
      </x:c>
      <x:c r="G341" t="str">
        <x:v>Within Project</x:v>
      </x:c>
      <x:c r="H341" t="str">
        <x:v>Reconstructed from approved narrative/logic</x:v>
      </x:c>
    </x:row>
    <x:row r="342" ht="21" customHeight="1">
      <x:c r="A342" t="str">
        <x:v>R0353</x:v>
      </x:c>
      <x:c r="B342" t="str">
        <x:v>P09</x:v>
      </x:c>
      <x:c r="C342" t="str">
        <x:v>P09-A15</x:v>
      </x:c>
      <x:c r="D342" t="str">
        <x:v>P09-A16</x:v>
      </x:c>
      <x:c r="E342" t="str">
        <x:v>FS</x:v>
      </x:c>
      <x:c r="F342" t="n">
        <x:v>0</x:v>
      </x:c>
      <x:c r="G342" t="str">
        <x:v>Within Project</x:v>
      </x:c>
      <x:c r="H342" t="str">
        <x:v>Reconstructed from approved narrative/logic</x:v>
      </x:c>
    </x:row>
    <x:row r="343" ht="21" customHeight="1">
      <x:c r="A343" t="str">
        <x:v>R0354</x:v>
      </x:c>
      <x:c r="B343" t="str">
        <x:v>P09</x:v>
      </x:c>
      <x:c r="C343" t="str">
        <x:v>P09-A15</x:v>
      </x:c>
      <x:c r="D343" t="str">
        <x:v>P09-A17</x:v>
      </x:c>
      <x:c r="E343" t="str">
        <x:v>FS</x:v>
      </x:c>
      <x:c r="F343" t="n">
        <x:v>0</x:v>
      </x:c>
      <x:c r="G343" t="str">
        <x:v>Within Project</x:v>
      </x:c>
      <x:c r="H343" t="str">
        <x:v>Reconstructed from approved narrative/logic</x:v>
      </x:c>
    </x:row>
    <x:row r="344" ht="21" customHeight="1">
      <x:c r="A344" t="str">
        <x:v>R0355</x:v>
      </x:c>
      <x:c r="B344" t="str">
        <x:v>P09</x:v>
      </x:c>
      <x:c r="C344" t="str">
        <x:v>P09-A8</x:v>
      </x:c>
      <x:c r="D344" t="str">
        <x:v>P09-A9</x:v>
      </x:c>
      <x:c r="E344" t="str">
        <x:v>FS</x:v>
      </x:c>
      <x:c r="F344" t="n">
        <x:v>0</x:v>
      </x:c>
      <x:c r="G344" t="str">
        <x:v>Within Project</x:v>
      </x:c>
      <x:c r="H344" t="str">
        <x:v>Reconstructed from approved narrative/logic</x:v>
      </x:c>
    </x:row>
    <x:row r="345" ht="21" customHeight="1">
      <x:c r="A345" t="str">
        <x:v>R0356</x:v>
      </x:c>
      <x:c r="B345" t="str">
        <x:v>P09</x:v>
      </x:c>
      <x:c r="C345" t="str">
        <x:v>P09-A16</x:v>
      </x:c>
      <x:c r="D345" t="str">
        <x:v>P09-A18</x:v>
      </x:c>
      <x:c r="E345" t="str">
        <x:v>FS</x:v>
      </x:c>
      <x:c r="F345" t="n">
        <x:v>5</x:v>
      </x:c>
      <x:c r="G345" t="str">
        <x:v>Within Project</x:v>
      </x:c>
      <x:c r="H345" t="str">
        <x:v>Reconstructed from approved narrative/logic</x:v>
      </x:c>
    </x:row>
    <x:row r="346" ht="21" customHeight="1">
      <x:c r="A346" t="str">
        <x:v>R0357</x:v>
      </x:c>
      <x:c r="B346" t="str">
        <x:v>P09</x:v>
      </x:c>
      <x:c r="C346" t="str">
        <x:v>P09-A17</x:v>
      </x:c>
      <x:c r="D346" t="str">
        <x:v>P09-A18</x:v>
      </x:c>
      <x:c r="E346" t="str">
        <x:v>FS</x:v>
      </x:c>
      <x:c r="F346" t="n">
        <x:v>0</x:v>
      </x:c>
      <x:c r="G346" t="str">
        <x:v>Within Project</x:v>
      </x:c>
      <x:c r="H346" t="str">
        <x:v>Reconstructed from approved narrative/logic</x:v>
      </x:c>
    </x:row>
    <x:row r="347" ht="21" customHeight="1">
      <x:c r="A347" t="str">
        <x:v>R0358</x:v>
      </x:c>
      <x:c r="B347" t="str">
        <x:v>P09</x:v>
      </x:c>
      <x:c r="C347" t="str">
        <x:v>P09-A9</x:v>
      </x:c>
      <x:c r="D347" t="str">
        <x:v>P09-A18</x:v>
      </x:c>
      <x:c r="E347" t="str">
        <x:v>FS</x:v>
      </x:c>
      <x:c r="F347" t="n">
        <x:v>0</x:v>
      </x:c>
      <x:c r="G347" t="str">
        <x:v>Within Project</x:v>
      </x:c>
      <x:c r="H347" t="str">
        <x:v>Reconstructed from approved narrative/logic</x:v>
      </x:c>
    </x:row>
    <x:row r="348" ht="21" customHeight="1">
      <x:c r="A348" t="str">
        <x:v>R0359</x:v>
      </x:c>
      <x:c r="B348" t="str">
        <x:v>P09</x:v>
      </x:c>
      <x:c r="C348" t="str">
        <x:v>P09-A18</x:v>
      </x:c>
      <x:c r="D348" t="str">
        <x:v>P09-A19</x:v>
      </x:c>
      <x:c r="E348" t="str">
        <x:v>FS</x:v>
      </x:c>
      <x:c r="F348" t="n">
        <x:v>0</x:v>
      </x:c>
      <x:c r="G348" t="str">
        <x:v>Within Project</x:v>
      </x:c>
      <x:c r="H348" t="str">
        <x:v>Reconstructed from approved narrative/logic</x:v>
      </x:c>
    </x:row>
    <x:row r="349" ht="21" customHeight="1">
      <x:c r="A349" t="str">
        <x:v>R0360</x:v>
      </x:c>
      <x:c r="B349" t="str">
        <x:v>P09</x:v>
      </x:c>
      <x:c r="C349" t="str">
        <x:v>P09-A19</x:v>
      </x:c>
      <x:c r="D349" t="str">
        <x:v>P09-MINSERVICE</x:v>
      </x:c>
      <x:c r="E349" t="str">
        <x:v>FS</x:v>
      </x:c>
      <x:c r="F349" t="n">
        <x:v>0</x:v>
      </x:c>
      <x:c r="G349" t="str">
        <x:v>Within Project</x:v>
      </x:c>
      <x:c r="H349" t="str">
        <x:v>Reconstructed from approved narrative/logic</x:v>
      </x:c>
    </x:row>
    <x:row r="350" ht="21" customHeight="1">
      <x:c r="A350" t="str">
        <x:v>R0361</x:v>
      </x:c>
      <x:c r="B350" t="str">
        <x:v>P09</x:v>
      </x:c>
      <x:c r="C350" t="str">
        <x:v>P09-A19</x:v>
      </x:c>
      <x:c r="D350" t="str">
        <x:v>P09-A20</x:v>
      </x:c>
      <x:c r="E350" t="str">
        <x:v>FS</x:v>
      </x:c>
      <x:c r="F350" t="n">
        <x:v>0</x:v>
      </x:c>
      <x:c r="G350" t="str">
        <x:v>Within Project</x:v>
      </x:c>
      <x:c r="H350" t="str">
        <x:v>Reconstructed from approved narrative/logic</x:v>
      </x:c>
    </x:row>
    <x:row r="351" ht="21" customHeight="1">
      <x:c r="A351" t="str">
        <x:v>R0362</x:v>
      </x:c>
      <x:c r="B351" t="str">
        <x:v>P09</x:v>
      </x:c>
      <x:c r="C351" t="str">
        <x:v>P09-A20</x:v>
      </x:c>
      <x:c r="D351" t="str">
        <x:v>P09-A21</x:v>
      </x:c>
      <x:c r="E351" t="str">
        <x:v>FS</x:v>
      </x:c>
      <x:c r="F351" t="n">
        <x:v>0</x:v>
      </x:c>
      <x:c r="G351" t="str">
        <x:v>Within Project</x:v>
      </x:c>
      <x:c r="H351" t="str">
        <x:v>Reconstructed from approved narrative/logic</x:v>
      </x:c>
    </x:row>
    <x:row r="352" ht="21" customHeight="1">
      <x:c r="A352" t="str">
        <x:v>R0363</x:v>
      </x:c>
      <x:c r="B352" t="str">
        <x:v>P09</x:v>
      </x:c>
      <x:c r="C352" t="str">
        <x:v>P09-A21</x:v>
      </x:c>
      <x:c r="D352" t="str">
        <x:v>P09-M3</x:v>
      </x:c>
      <x:c r="E352" t="str">
        <x:v>FS</x:v>
      </x:c>
      <x:c r="F352" t="n">
        <x:v>0</x:v>
      </x:c>
      <x:c r="G352" t="str">
        <x:v>Within Project</x:v>
      </x:c>
      <x:c r="H352" t="str">
        <x:v>Reconstructed from approved narrative/logic</x:v>
      </x:c>
    </x:row>
    <x:row r="353" ht="21" customHeight="1">
      <x:c r="A353" t="str">
        <x:v>R0364</x:v>
      </x:c>
      <x:c r="B353" t="str">
        <x:v>P09</x:v>
      </x:c>
      <x:c r="C353" t="str">
        <x:v>P09-A21</x:v>
      </x:c>
      <x:c r="D353" t="str">
        <x:v>P09-A22</x:v>
      </x:c>
      <x:c r="E353" t="str">
        <x:v>FS</x:v>
      </x:c>
      <x:c r="F353" t="n">
        <x:v>0</x:v>
      </x:c>
      <x:c r="G353" t="str">
        <x:v>Within Project</x:v>
      </x:c>
      <x:c r="H353" t="str">
        <x:v>Reconstructed from approved narrative/logic</x:v>
      </x:c>
    </x:row>
    <x:row r="354" ht="21" customHeight="1">
      <x:c r="A354" t="str">
        <x:v>R0365</x:v>
      </x:c>
      <x:c r="B354" t="str">
        <x:v>P09</x:v>
      </x:c>
      <x:c r="C354" t="str">
        <x:v>P09-A22</x:v>
      </x:c>
      <x:c r="D354" t="str">
        <x:v>P09-A23</x:v>
      </x:c>
      <x:c r="E354" t="str">
        <x:v>SS</x:v>
      </x:c>
      <x:c r="F354" t="n">
        <x:v>5</x:v>
      </x:c>
      <x:c r="G354" t="str">
        <x:v>Within Project</x:v>
      </x:c>
      <x:c r="H354" t="str">
        <x:v>Recovered by reconciliation to approved P09 M3/M4 dates and published closeout durations</x:v>
      </x:c>
    </x:row>
    <x:row r="355" ht="21" customHeight="1">
      <x:c r="A355" t="str">
        <x:v>R0366</x:v>
      </x:c>
      <x:c r="B355" t="str">
        <x:v>P09</x:v>
      </x:c>
      <x:c r="C355" t="str">
        <x:v>P09-A21</x:v>
      </x:c>
      <x:c r="D355" t="str">
        <x:v>P09-A23</x:v>
      </x:c>
      <x:c r="E355" t="str">
        <x:v>FF</x:v>
      </x:c>
      <x:c r="F355" t="n">
        <x:v>0</x:v>
      </x:c>
      <x:c r="G355" t="str">
        <x:v>Within Project</x:v>
      </x:c>
      <x:c r="H355" t="str">
        <x:v>Reconstructed from approved narrative/logic</x:v>
      </x:c>
    </x:row>
    <x:row r="356" ht="21" customHeight="1">
      <x:c r="A356" t="str">
        <x:v>R0367</x:v>
      </x:c>
      <x:c r="B356" t="str">
        <x:v>P09</x:v>
      </x:c>
      <x:c r="C356" t="str">
        <x:v>P09-A23</x:v>
      </x:c>
      <x:c r="D356" t="str">
        <x:v>P09-M4</x:v>
      </x:c>
      <x:c r="E356" t="str">
        <x:v>FS</x:v>
      </x:c>
      <x:c r="F356" t="n">
        <x:v>0</x:v>
      </x:c>
      <x:c r="G356" t="str">
        <x:v>Within Project</x:v>
      </x:c>
      <x:c r="H356" t="str">
        <x:v>Reconstructed from approved narrative/logic</x:v>
      </x:c>
    </x:row>
    <x:row r="357" ht="21" customHeight="1">
      <x:c r="A357" t="str">
        <x:v>R0368</x:v>
      </x:c>
      <x:c r="B357" t="str">
        <x:v>P10</x:v>
      </x:c>
      <x:c r="C357" t="str">
        <x:v>P10-A1</x:v>
      </x:c>
      <x:c r="D357" t="str">
        <x:v>P10-A2</x:v>
      </x:c>
      <x:c r="E357" t="str">
        <x:v>FS</x:v>
      </x:c>
      <x:c r="F357" t="n">
        <x:v>0</x:v>
      </x:c>
      <x:c r="G357" t="str">
        <x:v>Within Project</x:v>
      </x:c>
      <x:c r="H357" t="str">
        <x:v>Reconstructed from approved narrative/logic</x:v>
      </x:c>
    </x:row>
    <x:row r="358" ht="21" customHeight="1">
      <x:c r="A358" t="str">
        <x:v>R0369</x:v>
      </x:c>
      <x:c r="B358" t="str">
        <x:v>P10</x:v>
      </x:c>
      <x:c r="C358" t="str">
        <x:v>P10-A2</x:v>
      </x:c>
      <x:c r="D358" t="str">
        <x:v>P10-A3</x:v>
      </x:c>
      <x:c r="E358" t="str">
        <x:v>FS</x:v>
      </x:c>
      <x:c r="F358" t="n">
        <x:v>0</x:v>
      </x:c>
      <x:c r="G358" t="str">
        <x:v>Within Project</x:v>
      </x:c>
      <x:c r="H358" t="str">
        <x:v>Reconstructed from approved narrative/logic</x:v>
      </x:c>
    </x:row>
    <x:row r="359" ht="21" customHeight="1">
      <x:c r="A359" t="str">
        <x:v>R0370</x:v>
      </x:c>
      <x:c r="B359" t="str">
        <x:v>P10</x:v>
      </x:c>
      <x:c r="C359" t="str">
        <x:v>P10-A3</x:v>
      </x:c>
      <x:c r="D359" t="str">
        <x:v>P10-A4</x:v>
      </x:c>
      <x:c r="E359" t="str">
        <x:v>FS</x:v>
      </x:c>
      <x:c r="F359" t="n">
        <x:v>0</x:v>
      </x:c>
      <x:c r="G359" t="str">
        <x:v>Within Project</x:v>
      </x:c>
      <x:c r="H359" t="str">
        <x:v>Reconstructed from approved narrative/logic</x:v>
      </x:c>
    </x:row>
    <x:row r="360" ht="21" customHeight="1">
      <x:c r="A360" t="str">
        <x:v>R0371</x:v>
      </x:c>
      <x:c r="B360" t="str">
        <x:v>P10</x:v>
      </x:c>
      <x:c r="C360" t="str">
        <x:v>P10-A4</x:v>
      </x:c>
      <x:c r="D360" t="str">
        <x:v>P10-A5</x:v>
      </x:c>
      <x:c r="E360" t="str">
        <x:v>SS</x:v>
      </x:c>
      <x:c r="F360" t="n">
        <x:v>10</x:v>
      </x:c>
      <x:c r="G360" t="str">
        <x:v>Within Project</x:v>
      </x:c>
      <x:c r="H360" t="str">
        <x:v>Reconstructed from approved narrative/logic</x:v>
      </x:c>
    </x:row>
    <x:row r="361" ht="21" customHeight="1">
      <x:c r="A361" t="str">
        <x:v>R0372</x:v>
      </x:c>
      <x:c r="B361" t="str">
        <x:v>P10</x:v>
      </x:c>
      <x:c r="C361" t="str">
        <x:v>P10-A4</x:v>
      </x:c>
      <x:c r="D361" t="str">
        <x:v>P10-A6b</x:v>
      </x:c>
      <x:c r="E361" t="str">
        <x:v>SS</x:v>
      </x:c>
      <x:c r="F361" t="n">
        <x:v>10</x:v>
      </x:c>
      <x:c r="G361" t="str">
        <x:v>Within Project</x:v>
      </x:c>
      <x:c r="H361" t="str">
        <x:v>Reconstructed from approved narrative/logic</x:v>
      </x:c>
    </x:row>
    <x:row r="362" ht="21" customHeight="1">
      <x:c r="A362" t="str">
        <x:v>R0373</x:v>
      </x:c>
      <x:c r="B362" t="str">
        <x:v>P10</x:v>
      </x:c>
      <x:c r="C362" t="str">
        <x:v>P10-A5</x:v>
      </x:c>
      <x:c r="D362" t="str">
        <x:v>P10-A6</x:v>
      </x:c>
      <x:c r="E362" t="str">
        <x:v>SS</x:v>
      </x:c>
      <x:c r="F362" t="n">
        <x:v>10</x:v>
      </x:c>
      <x:c r="G362" t="str">
        <x:v>Within Project</x:v>
      </x:c>
      <x:c r="H362" t="str">
        <x:v>PROPOSED synthetic recovery: Final controls design overlaps network/cybersecurity coordination; allows approval at reported July 21 if upstream dates hold.</x:v>
      </x:c>
    </x:row>
    <x:row r="363" ht="21" customHeight="1">
      <x:c r="A363" t="str">
        <x:v>R0374</x:v>
      </x:c>
      <x:c r="B363" t="str">
        <x:v>P10</x:v>
      </x:c>
      <x:c r="C363" t="str">
        <x:v>P10-A6b</x:v>
      </x:c>
      <x:c r="D363" t="str">
        <x:v>P10-A6</x:v>
      </x:c>
      <x:c r="E363" t="str">
        <x:v>SS</x:v>
      </x:c>
      <x:c r="F363" t="n">
        <x:v>10</x:v>
      </x:c>
      <x:c r="G363" t="str">
        <x:v>Within Project</x:v>
      </x:c>
      <x:c r="H363" t="str">
        <x:v>PROPOSED synthetic recovery: Final controls design overlaps network/cybersecurity coordination; allows approval at reported July 21 if upstream dates hold.</x:v>
      </x:c>
    </x:row>
    <x:row r="364" ht="21" customHeight="1">
      <x:c r="A364" t="str">
        <x:v>R0375</x:v>
      </x:c>
      <x:c r="B364" t="str">
        <x:v>P10</x:v>
      </x:c>
      <x:c r="C364" t="str">
        <x:v>P10-A6</x:v>
      </x:c>
      <x:c r="D364" t="str">
        <x:v>P10-M1</x:v>
      </x:c>
      <x:c r="E364" t="str">
        <x:v>FS</x:v>
      </x:c>
      <x:c r="F364" t="n">
        <x:v>0</x:v>
      </x:c>
      <x:c r="G364" t="str">
        <x:v>Within Project</x:v>
      </x:c>
      <x:c r="H364" t="str">
        <x:v>BLOCKED: documented relationship incompatible with existing reconstructed date(s); see QA report</x:v>
      </x:c>
    </x:row>
    <x:row r="365" ht="21" customHeight="1">
      <x:c r="A365" t="str">
        <x:v>R0376</x:v>
      </x:c>
      <x:c r="B365" t="str">
        <x:v>P10</x:v>
      </x:c>
      <x:c r="C365" t="str">
        <x:v>P10-A6</x:v>
      </x:c>
      <x:c r="D365" t="str">
        <x:v>P10-A7</x:v>
      </x:c>
      <x:c r="E365" t="str">
        <x:v>SS</x:v>
      </x:c>
      <x:c r="F365" t="n">
        <x:v>10</x:v>
      </x:c>
      <x:c r="G365" t="str">
        <x:v>Within Project</x:v>
      </x:c>
      <x:c r="H365" t="str">
        <x:v>Reconstructed from approved narrative/logic</x:v>
      </x:c>
    </x:row>
    <x:row r="366" ht="21" customHeight="1">
      <x:c r="A366" t="str">
        <x:v>R0377</x:v>
      </x:c>
      <x:c r="B366" t="str">
        <x:v>P10</x:v>
      </x:c>
      <x:c r="C366" t="str">
        <x:v>P10-A7</x:v>
      </x:c>
      <x:c r="D366" t="str">
        <x:v>P10-A7b</x:v>
      </x:c>
      <x:c r="E366" t="str">
        <x:v>FS</x:v>
      </x:c>
      <x:c r="F366" t="n">
        <x:v>0</x:v>
      </x:c>
      <x:c r="G366" t="str">
        <x:v>Within Project</x:v>
      </x:c>
      <x:c r="H366" t="str">
        <x:v>Reconstructed from approved narrative/logic</x:v>
      </x:c>
    </x:row>
    <x:row r="367" ht="21" customHeight="1">
      <x:c r="A367" t="str">
        <x:v>R0378</x:v>
      </x:c>
      <x:c r="B367" t="str">
        <x:v>P10</x:v>
      </x:c>
      <x:c r="C367" t="str">
        <x:v>P10-A7b</x:v>
      </x:c>
      <x:c r="D367" t="str">
        <x:v>P10-A7c</x:v>
      </x:c>
      <x:c r="E367" t="str">
        <x:v>FS</x:v>
      </x:c>
      <x:c r="F367" t="n">
        <x:v>0</x:v>
      </x:c>
      <x:c r="G367" t="str">
        <x:v>Within Project</x:v>
      </x:c>
      <x:c r="H367" t="str">
        <x:v>Reconstructed from approved narrative/logic</x:v>
      </x:c>
    </x:row>
    <x:row r="368" ht="21" customHeight="1">
      <x:c r="A368" t="str">
        <x:v>R0379</x:v>
      </x:c>
      <x:c r="B368" t="str">
        <x:v>P10</x:v>
      </x:c>
      <x:c r="C368" t="str">
        <x:v>P10-A7c</x:v>
      </x:c>
      <x:c r="D368" t="str">
        <x:v>P10-M2</x:v>
      </x:c>
      <x:c r="E368" t="str">
        <x:v>FS</x:v>
      </x:c>
      <x:c r="F368" t="n">
        <x:v>0</x:v>
      </x:c>
      <x:c r="G368" t="str">
        <x:v>Within Project</x:v>
      </x:c>
      <x:c r="H368" t="str">
        <x:v>Reconstructed from approved narrative/logic</x:v>
      </x:c>
    </x:row>
    <x:row r="369" ht="21" customHeight="1">
      <x:c r="A369" t="str">
        <x:v>R0380</x:v>
      </x:c>
      <x:c r="B369" t="str">
        <x:v>P10</x:v>
      </x:c>
      <x:c r="C369" t="str">
        <x:v>P10-M2</x:v>
      </x:c>
      <x:c r="D369" t="str">
        <x:v>P10-A8</x:v>
      </x:c>
      <x:c r="E369" t="str">
        <x:v>FS</x:v>
      </x:c>
      <x:c r="F369" t="n">
        <x:v>0</x:v>
      </x:c>
      <x:c r="G369" t="str">
        <x:v>Within Project</x:v>
      </x:c>
      <x:c r="H369" t="str">
        <x:v>Reconstructed from approved narrative/logic</x:v>
      </x:c>
    </x:row>
    <x:row r="370" ht="21" customHeight="1">
      <x:c r="A370" t="str">
        <x:v>R0381</x:v>
      </x:c>
      <x:c r="B370" t="str">
        <x:v>P10</x:v>
      </x:c>
      <x:c r="C370" t="str">
        <x:v>P10-M2</x:v>
      </x:c>
      <x:c r="D370" t="str">
        <x:v>P10-A9</x:v>
      </x:c>
      <x:c r="E370" t="str">
        <x:v>FS</x:v>
      </x:c>
      <x:c r="F370" t="n">
        <x:v>0</x:v>
      </x:c>
      <x:c r="G370" t="str">
        <x:v>Within Project</x:v>
      </x:c>
      <x:c r="H370" t="str">
        <x:v>Reconstructed from approved narrative/logic</x:v>
      </x:c>
    </x:row>
    <x:row r="371" ht="21" customHeight="1">
      <x:c r="A371" t="str">
        <x:v>R0382</x:v>
      </x:c>
      <x:c r="B371" t="str">
        <x:v>P10</x:v>
      </x:c>
      <x:c r="C371" t="str">
        <x:v>P10-M2</x:v>
      </x:c>
      <x:c r="D371" t="str">
        <x:v>P10-A11</x:v>
      </x:c>
      <x:c r="E371" t="str">
        <x:v>FS</x:v>
      </x:c>
      <x:c r="F371" t="n">
        <x:v>0</x:v>
      </x:c>
      <x:c r="G371" t="str">
        <x:v>Within Project</x:v>
      </x:c>
      <x:c r="H371" t="str">
        <x:v>Reconstructed from approved narrative/logic</x:v>
      </x:c>
    </x:row>
    <x:row r="372" ht="21" customHeight="1">
      <x:c r="A372" t="str">
        <x:v>R0383</x:v>
      </x:c>
      <x:c r="B372" t="str">
        <x:v>P10</x:v>
      </x:c>
      <x:c r="C372" t="str">
        <x:v>P10-M2</x:v>
      </x:c>
      <x:c r="D372" t="str">
        <x:v>P10-A14</x:v>
      </x:c>
      <x:c r="E372" t="str">
        <x:v>FS</x:v>
      </x:c>
      <x:c r="F372" t="n">
        <x:v>0</x:v>
      </x:c>
      <x:c r="G372" t="str">
        <x:v>Within Project</x:v>
      </x:c>
      <x:c r="H372" t="str">
        <x:v>Reconstructed from approved narrative/logic</x:v>
      </x:c>
    </x:row>
    <x:row r="373" ht="21" customHeight="1">
      <x:c r="A373" t="str">
        <x:v>R0384</x:v>
      </x:c>
      <x:c r="B373" t="str">
        <x:v>P10</x:v>
      </x:c>
      <x:c r="C373" t="str">
        <x:v>P10-M2</x:v>
      </x:c>
      <x:c r="D373" t="str">
        <x:v>P10-A15</x:v>
      </x:c>
      <x:c r="E373" t="str">
        <x:v>FS</x:v>
      </x:c>
      <x:c r="F373" t="n">
        <x:v>0</x:v>
      </x:c>
      <x:c r="G373" t="str">
        <x:v>Within Project</x:v>
      </x:c>
      <x:c r="H373" t="str">
        <x:v>Reconstructed from approved narrative/logic</x:v>
      </x:c>
    </x:row>
    <x:row r="374" ht="21" customHeight="1">
      <x:c r="A374" t="str">
        <x:v>R0385</x:v>
      </x:c>
      <x:c r="B374" t="str">
        <x:v>P10</x:v>
      </x:c>
      <x:c r="C374" t="str">
        <x:v>P10-A9</x:v>
      </x:c>
      <x:c r="D374" t="str">
        <x:v>P10-A10</x:v>
      </x:c>
      <x:c r="E374" t="str">
        <x:v>FS</x:v>
      </x:c>
      <x:c r="F374" t="n">
        <x:v>0</x:v>
      </x:c>
      <x:c r="G374" t="str">
        <x:v>Within Project</x:v>
      </x:c>
      <x:c r="H374" t="str">
        <x:v>Reconstructed from approved narrative/logic</x:v>
      </x:c>
    </x:row>
    <x:row r="375" ht="21" customHeight="1">
      <x:c r="A375" t="str">
        <x:v>R0386</x:v>
      </x:c>
      <x:c r="B375" t="str">
        <x:v>P10</x:v>
      </x:c>
      <x:c r="C375" t="str">
        <x:v>P10-A10</x:v>
      </x:c>
      <x:c r="D375" t="str">
        <x:v>P10-A12</x:v>
      </x:c>
      <x:c r="E375" t="str">
        <x:v>FS</x:v>
      </x:c>
      <x:c r="F375" t="n">
        <x:v>0</x:v>
      </x:c>
      <x:c r="G375" t="str">
        <x:v>Within Project</x:v>
      </x:c>
      <x:c r="H375" t="str">
        <x:v>Reconstructed from approved narrative/logic</x:v>
      </x:c>
    </x:row>
    <x:row r="376" ht="21" customHeight="1">
      <x:c r="A376" t="str">
        <x:v>R0387</x:v>
      </x:c>
      <x:c r="B376" t="str">
        <x:v>P10</x:v>
      </x:c>
      <x:c r="C376" t="str">
        <x:v>P10-A12</x:v>
      </x:c>
      <x:c r="D376" t="str">
        <x:v>P10-A13</x:v>
      </x:c>
      <x:c r="E376" t="str">
        <x:v>FS</x:v>
      </x:c>
      <x:c r="F376" t="n">
        <x:v>0</x:v>
      </x:c>
      <x:c r="G376" t="str">
        <x:v>Within Project</x:v>
      </x:c>
      <x:c r="H376" t="str">
        <x:v>Reconstructed from approved narrative/logic</x:v>
      </x:c>
    </x:row>
    <x:row r="377" ht="21" customHeight="1">
      <x:c r="A377" t="str">
        <x:v>R0388</x:v>
      </x:c>
      <x:c r="B377" t="str">
        <x:v>P10</x:v>
      </x:c>
      <x:c r="C377" t="str">
        <x:v>P10-A14</x:v>
      </x:c>
      <x:c r="D377" t="str">
        <x:v>P10-A13</x:v>
      </x:c>
      <x:c r="E377" t="str">
        <x:v>FS</x:v>
      </x:c>
      <x:c r="F377" t="n">
        <x:v>0</x:v>
      </x:c>
      <x:c r="G377" t="str">
        <x:v>Within Project</x:v>
      </x:c>
      <x:c r="H377" t="str">
        <x:v>Reconstructed from approved narrative/logic</x:v>
      </x:c>
    </x:row>
    <x:row r="378" ht="21" customHeight="1">
      <x:c r="A378" t="str">
        <x:v>R0389</x:v>
      </x:c>
      <x:c r="B378" t="str">
        <x:v>P10</x:v>
      </x:c>
      <x:c r="C378" t="str">
        <x:v>P10-A15</x:v>
      </x:c>
      <x:c r="D378" t="str">
        <x:v>P10-A13</x:v>
      </x:c>
      <x:c r="E378" t="str">
        <x:v>FS</x:v>
      </x:c>
      <x:c r="F378" t="n">
        <x:v>0</x:v>
      </x:c>
      <x:c r="G378" t="str">
        <x:v>Within Project</x:v>
      </x:c>
      <x:c r="H378" t="str">
        <x:v>Reconstructed from approved narrative/logic</x:v>
      </x:c>
    </x:row>
    <x:row r="379" ht="21" customHeight="1">
      <x:c r="A379" t="str">
        <x:v>R0390</x:v>
      </x:c>
      <x:c r="B379" t="str">
        <x:v>P10</x:v>
      </x:c>
      <x:c r="C379" t="str">
        <x:v>P10-A13</x:v>
      </x:c>
      <x:c r="D379" t="str">
        <x:v>P10-MFAT</x:v>
      </x:c>
      <x:c r="E379" t="str">
        <x:v>FS</x:v>
      </x:c>
      <x:c r="F379" t="n">
        <x:v>0</x:v>
      </x:c>
      <x:c r="G379" t="str">
        <x:v>Within Project</x:v>
      </x:c>
      <x:c r="H379" t="str">
        <x:v>Reconstructed from approved narrative/logic</x:v>
      </x:c>
    </x:row>
    <x:row r="380" ht="21" customHeight="1">
      <x:c r="A380" t="str">
        <x:v>R0391</x:v>
      </x:c>
      <x:c r="B380" t="str">
        <x:v>P10</x:v>
      </x:c>
      <x:c r="C380" t="str">
        <x:v>P10-A13</x:v>
      </x:c>
      <x:c r="D380" t="str">
        <x:v>P10-A16</x:v>
      </x:c>
      <x:c r="E380" t="str">
        <x:v>FS</x:v>
      </x:c>
      <x:c r="F380" t="n">
        <x:v>0</x:v>
      </x:c>
      <x:c r="G380" t="str">
        <x:v>Within Project</x:v>
      </x:c>
      <x:c r="H380" t="str">
        <x:v>Reconstructed from approved narrative/logic</x:v>
      </x:c>
    </x:row>
    <x:row r="381" ht="21" customHeight="1">
      <x:c r="A381" t="str">
        <x:v>R0392</x:v>
      </x:c>
      <x:c r="B381" t="str">
        <x:v>P10</x:v>
      </x:c>
      <x:c r="C381" t="str">
        <x:v>P10-A8</x:v>
      </x:c>
      <x:c r="D381" t="str">
        <x:v>P10-A17</x:v>
      </x:c>
      <x:c r="E381" t="str">
        <x:v>FS</x:v>
      </x:c>
      <x:c r="F381" t="n">
        <x:v>0</x:v>
      </x:c>
      <x:c r="G381" t="str">
        <x:v>Within Project</x:v>
      </x:c>
      <x:c r="H381" t="str">
        <x:v>Reconstructed from approved narrative/logic</x:v>
      </x:c>
    </x:row>
    <x:row r="382" ht="21" customHeight="1">
      <x:c r="A382" t="str">
        <x:v>R0393</x:v>
      </x:c>
      <x:c r="B382" t="str">
        <x:v>P10</x:v>
      </x:c>
      <x:c r="C382" t="str">
        <x:v>P10-A16</x:v>
      </x:c>
      <x:c r="D382" t="str">
        <x:v>P10-A17</x:v>
      </x:c>
      <x:c r="E382" t="str">
        <x:v>FS</x:v>
      </x:c>
      <x:c r="F382" t="n">
        <x:v>0</x:v>
      </x:c>
      <x:c r="G382" t="str">
        <x:v>Within Project</x:v>
      </x:c>
      <x:c r="H382" t="str">
        <x:v>Reconstructed from approved narrative/logic</x:v>
      </x:c>
    </x:row>
    <x:row r="383" ht="21" customHeight="1">
      <x:c r="A383" t="str">
        <x:v>R0394</x:v>
      </x:c>
      <x:c r="B383" t="str">
        <x:v>P10</x:v>
      </x:c>
      <x:c r="C383" t="str">
        <x:v>P10-A17</x:v>
      </x:c>
      <x:c r="D383" t="str">
        <x:v>P10-MSITEINSTALL</x:v>
      </x:c>
      <x:c r="E383" t="str">
        <x:v>FS</x:v>
      </x:c>
      <x:c r="F383" t="n">
        <x:v>0</x:v>
      </x:c>
      <x:c r="G383" t="str">
        <x:v>Within Project</x:v>
      </x:c>
      <x:c r="H383" t="str">
        <x:v>Reconstructed from approved narrative/logic</x:v>
      </x:c>
    </x:row>
    <x:row r="384" ht="21" customHeight="1">
      <x:c r="A384" t="str">
        <x:v>R0395</x:v>
      </x:c>
      <x:c r="B384" t="str">
        <x:v>P10</x:v>
      </x:c>
      <x:c r="C384" t="str">
        <x:v>P10-A17</x:v>
      </x:c>
      <x:c r="D384" t="str">
        <x:v>P10-A18</x:v>
      </x:c>
      <x:c r="E384" t="str">
        <x:v>FS</x:v>
      </x:c>
      <x:c r="F384" t="n">
        <x:v>0</x:v>
      </x:c>
      <x:c r="G384" t="str">
        <x:v>Within Project</x:v>
      </x:c>
      <x:c r="H384" t="str">
        <x:v>Reconstructed from approved narrative/logic</x:v>
      </x:c>
    </x:row>
    <x:row r="385" ht="21" customHeight="1">
      <x:c r="A385" t="str">
        <x:v>R0396</x:v>
      </x:c>
      <x:c r="B385" t="str">
        <x:v>P10</x:v>
      </x:c>
      <x:c r="C385" t="str">
        <x:v>P10-A18</x:v>
      </x:c>
      <x:c r="D385" t="str">
        <x:v>P10-A19</x:v>
      </x:c>
      <x:c r="E385" t="str">
        <x:v>FS</x:v>
      </x:c>
      <x:c r="F385" t="n">
        <x:v>0</x:v>
      </x:c>
      <x:c r="G385" t="str">
        <x:v>Within Project</x:v>
      </x:c>
      <x:c r="H385" t="str">
        <x:v>Reconstructed from approved narrative/logic</x:v>
      </x:c>
    </x:row>
    <x:row r="386" ht="21" customHeight="1">
      <x:c r="A386" t="str">
        <x:v>R0397</x:v>
      </x:c>
      <x:c r="B386" t="str">
        <x:v>P10</x:v>
      </x:c>
      <x:c r="C386" t="str">
        <x:v>P10-A18</x:v>
      </x:c>
      <x:c r="D386" t="str">
        <x:v>P10-MIOCHECK</x:v>
      </x:c>
      <x:c r="E386" t="str">
        <x:v>FS</x:v>
      </x:c>
      <x:c r="F386" t="n">
        <x:v>0</x:v>
      </x:c>
      <x:c r="G386" t="str">
        <x:v>Within Project</x:v>
      </x:c>
      <x:c r="H386" t="str">
        <x:v>Reconstructed from approved narrative/logic</x:v>
      </x:c>
    </x:row>
    <x:row r="387" ht="21" customHeight="1">
      <x:c r="A387" t="str">
        <x:v>R0398</x:v>
      </x:c>
      <x:c r="B387" t="str">
        <x:v>P03→P10</x:v>
      </x:c>
      <x:c r="C387" t="str">
        <x:v>P03-I-P03-02</x:v>
      </x:c>
      <x:c r="D387" t="str">
        <x:v>P10-IF-01</x:v>
      </x:c>
      <x:c r="E387" t="str">
        <x:v>FS</x:v>
      </x:c>
      <x:c r="F387" t="n">
        <x:v>0</x:v>
      </x:c>
      <x:c r="G387" t="str">
        <x:v>Inter-Project</x:v>
      </x:c>
      <x:c r="H387" t="str">
        <x:v>Reconstructed from approved narrative/logic</x:v>
      </x:c>
    </x:row>
    <x:row r="388" ht="21" customHeight="1">
      <x:c r="A388" t="str">
        <x:v>R0399</x:v>
      </x:c>
      <x:c r="B388" t="str">
        <x:v>P08→P10</x:v>
      </x:c>
      <x:c r="C388" t="str">
        <x:v>P08-I-P08-02</x:v>
      </x:c>
      <x:c r="D388" t="str">
        <x:v>P10-IF-01</x:v>
      </x:c>
      <x:c r="E388" t="str">
        <x:v>FS</x:v>
      </x:c>
      <x:c r="F388" t="n">
        <x:v>0</x:v>
      </x:c>
      <x:c r="G388" t="str">
        <x:v>Inter-Project</x:v>
      </x:c>
      <x:c r="H388" t="str">
        <x:v>Reconstructed from approved narrative/logic</x:v>
      </x:c>
    </x:row>
    <x:row r="389" ht="21" customHeight="1">
      <x:c r="A389" t="str">
        <x:v>R0400</x:v>
      </x:c>
      <x:c r="B389" t="str">
        <x:v>P10</x:v>
      </x:c>
      <x:c r="C389" t="str">
        <x:v>P10-M1</x:v>
      </x:c>
      <x:c r="D389" t="str">
        <x:v>P10-IF-01</x:v>
      </x:c>
      <x:c r="E389" t="str">
        <x:v>FS</x:v>
      </x:c>
      <x:c r="F389" t="n">
        <x:v>0</x:v>
      </x:c>
      <x:c r="G389" t="str">
        <x:v>Within Project</x:v>
      </x:c>
      <x:c r="H389" t="str">
        <x:v>Reconstructed from approved narrative/logic</x:v>
      </x:c>
    </x:row>
    <x:row r="390" ht="21" customHeight="1">
      <x:c r="A390" t="str">
        <x:v>R0401</x:v>
      </x:c>
      <x:c r="B390" t="str">
        <x:v>P10</x:v>
      </x:c>
      <x:c r="C390" t="str">
        <x:v>P10-IF-01</x:v>
      </x:c>
      <x:c r="D390" t="str">
        <x:v>P10-MIF01</x:v>
      </x:c>
      <x:c r="E390" t="str">
        <x:v>FS</x:v>
      </x:c>
      <x:c r="F390" t="n">
        <x:v>0</x:v>
      </x:c>
      <x:c r="G390" t="str">
        <x:v>Within Project</x:v>
      </x:c>
      <x:c r="H390" t="str">
        <x:v>Restored from approved P03/P08/P10 interface package</x:v>
      </x:c>
    </x:row>
    <x:row r="391" ht="21" customHeight="1">
      <x:c r="A391" t="str">
        <x:v>R0402</x:v>
      </x:c>
      <x:c r="B391" t="str">
        <x:v>P10</x:v>
      </x:c>
      <x:c r="C391" t="str">
        <x:v>P10-MIF01</x:v>
      </x:c>
      <x:c r="D391" t="str">
        <x:v>P10-MIF02</x:v>
      </x:c>
      <x:c r="E391" t="str">
        <x:v>FS</x:v>
      </x:c>
      <x:c r="F391" t="n">
        <x:v>0</x:v>
      </x:c>
      <x:c r="G391" t="str">
        <x:v>Within Project</x:v>
      </x:c>
      <x:c r="H391" t="str">
        <x:v>Restored from approved P03/P08/P10 interface package</x:v>
      </x:c>
    </x:row>
    <x:row r="392" ht="21" customHeight="1">
      <x:c r="A392" t="str">
        <x:v>R0403</x:v>
      </x:c>
      <x:c r="B392" t="str">
        <x:v>P10</x:v>
      </x:c>
      <x:c r="C392" t="str">
        <x:v>P10-A14</x:v>
      </x:c>
      <x:c r="D392" t="str">
        <x:v>P10-MIF02</x:v>
      </x:c>
      <x:c r="E392" t="str">
        <x:v>FS</x:v>
      </x:c>
      <x:c r="F392" t="n">
        <x:v>0</x:v>
      </x:c>
      <x:c r="G392" t="str">
        <x:v>Within Project</x:v>
      </x:c>
      <x:c r="H392" t="str">
        <x:v>Restored from approved P03/P08/P10 interface package</x:v>
      </x:c>
    </x:row>
    <x:row r="393" ht="21" customHeight="1">
      <x:c r="A393" t="str">
        <x:v>R0404</x:v>
      </x:c>
      <x:c r="B393" t="str">
        <x:v>P10</x:v>
      </x:c>
      <x:c r="C393" t="str">
        <x:v>P10-A15</x:v>
      </x:c>
      <x:c r="D393" t="str">
        <x:v>P10-MIF02</x:v>
      </x:c>
      <x:c r="E393" t="str">
        <x:v>FS</x:v>
      </x:c>
      <x:c r="F393" t="n">
        <x:v>0</x:v>
      </x:c>
      <x:c r="G393" t="str">
        <x:v>Within Project</x:v>
      </x:c>
      <x:c r="H393" t="str">
        <x:v>Restored from approved P03/P08/P10 interface package</x:v>
      </x:c>
    </x:row>
    <x:row r="394" ht="21" customHeight="1">
      <x:c r="A394" t="str">
        <x:v>R0405</x:v>
      </x:c>
      <x:c r="B394" t="str">
        <x:v>P10</x:v>
      </x:c>
      <x:c r="C394" t="str">
        <x:v>P10-MIF02</x:v>
      </x:c>
      <x:c r="D394" t="str">
        <x:v>P10-A13</x:v>
      </x:c>
      <x:c r="E394" t="str">
        <x:v>FS</x:v>
      </x:c>
      <x:c r="F394" t="n">
        <x:v>0</x:v>
      </x:c>
      <x:c r="G394" t="str">
        <x:v>Within Project</x:v>
      </x:c>
      <x:c r="H394" t="str">
        <x:v>Restored from approved P03/P08/P10 interface package</x:v>
      </x:c>
    </x:row>
    <x:row r="395" ht="21" customHeight="1">
      <x:c r="A395" t="str">
        <x:v>R0406</x:v>
      </x:c>
      <x:c r="B395" t="str">
        <x:v>P03→P10</x:v>
      </x:c>
      <x:c r="C395" t="str">
        <x:v>P03-I-P03-03</x:v>
      </x:c>
      <x:c r="D395" t="str">
        <x:v>P10-MIF03</x:v>
      </x:c>
      <x:c r="E395" t="str">
        <x:v>FS</x:v>
      </x:c>
      <x:c r="F395" t="n">
        <x:v>0</x:v>
      </x:c>
      <x:c r="G395" t="str">
        <x:v>Inter-Project</x:v>
      </x:c>
      <x:c r="H395" t="str">
        <x:v>Reconstructed from approved narrative/logic</x:v>
      </x:c>
    </x:row>
    <x:row r="396" ht="21" customHeight="1">
      <x:c r="A396" t="str">
        <x:v>R0407</x:v>
      </x:c>
      <x:c r="B396" t="str">
        <x:v>P08→P10</x:v>
      </x:c>
      <x:c r="C396" t="str">
        <x:v>P08-I-P08-03</x:v>
      </x:c>
      <x:c r="D396" t="str">
        <x:v>P10-MIF03</x:v>
      </x:c>
      <x:c r="E396" t="str">
        <x:v>FS</x:v>
      </x:c>
      <x:c r="F396" t="n">
        <x:v>0</x:v>
      </x:c>
      <x:c r="G396" t="str">
        <x:v>Inter-Project</x:v>
      </x:c>
      <x:c r="H396" t="str">
        <x:v>Reconstructed from approved narrative/logic</x:v>
      </x:c>
    </x:row>
    <x:row r="397" ht="21" customHeight="1">
      <x:c r="A397" t="str">
        <x:v>R0408</x:v>
      </x:c>
      <x:c r="B397" t="str">
        <x:v>P10</x:v>
      </x:c>
      <x:c r="C397" t="str">
        <x:v>P10-MSITEINSTALL</x:v>
      </x:c>
      <x:c r="D397" t="str">
        <x:v>P10-MIF03</x:v>
      </x:c>
      <x:c r="E397" t="str">
        <x:v>FS</x:v>
      </x:c>
      <x:c r="F397" t="n">
        <x:v>0</x:v>
      </x:c>
      <x:c r="G397" t="str">
        <x:v>Within Project</x:v>
      </x:c>
      <x:c r="H397" t="str">
        <x:v>Reconstructed from approved narrative/logic</x:v>
      </x:c>
    </x:row>
    <x:row r="398" ht="21" customHeight="1">
      <x:c r="A398" t="str">
        <x:v>R0409</x:v>
      </x:c>
      <x:c r="B398" t="str">
        <x:v>P10</x:v>
      </x:c>
      <x:c r="C398" t="str">
        <x:v>P10-MIOCHECK</x:v>
      </x:c>
      <x:c r="D398" t="str">
        <x:v>P10-MIF03</x:v>
      </x:c>
      <x:c r="E398" t="str">
        <x:v>FS</x:v>
      </x:c>
      <x:c r="F398" t="n">
        <x:v>0</x:v>
      </x:c>
      <x:c r="G398" t="str">
        <x:v>Within Project</x:v>
      </x:c>
      <x:c r="H398" t="str">
        <x:v>Reconstructed from approved narrative/logic</x:v>
      </x:c>
    </x:row>
    <x:row r="399" ht="21" customHeight="1">
      <x:c r="A399" t="str">
        <x:v>R0410</x:v>
      </x:c>
      <x:c r="B399" t="str">
        <x:v>P10</x:v>
      </x:c>
      <x:c r="C399" t="str">
        <x:v>P10-A19</x:v>
      </x:c>
      <x:c r="D399" t="str">
        <x:v>P10-MIF03</x:v>
      </x:c>
      <x:c r="E399" t="str">
        <x:v>FS</x:v>
      </x:c>
      <x:c r="F399" t="n">
        <x:v>0</x:v>
      </x:c>
      <x:c r="G399" t="str">
        <x:v>Within Project</x:v>
      </x:c>
      <x:c r="H399" t="str">
        <x:v>Reconstructed from approved narrative/logic</x:v>
      </x:c>
    </x:row>
    <x:row r="400" ht="21" customHeight="1">
      <x:c r="A400" t="str">
        <x:v>R0411</x:v>
      </x:c>
      <x:c r="B400" t="str">
        <x:v>P10</x:v>
      </x:c>
      <x:c r="C400" t="str">
        <x:v>P10-MIF03</x:v>
      </x:c>
      <x:c r="D400" t="str">
        <x:v>P10-A20</x:v>
      </x:c>
      <x:c r="E400" t="str">
        <x:v>FS</x:v>
      </x:c>
      <x:c r="F400" t="n">
        <x:v>0</x:v>
      </x:c>
      <x:c r="G400" t="str">
        <x:v>Within Project</x:v>
      </x:c>
      <x:c r="H400" t="str">
        <x:v>Restored from approved P03/P08/P10 interface package</x:v>
      </x:c>
    </x:row>
    <x:row r="401" ht="21" customHeight="1">
      <x:c r="A401" t="str">
        <x:v>R0412</x:v>
      </x:c>
      <x:c r="B401" t="str">
        <x:v>P10</x:v>
      </x:c>
      <x:c r="C401" t="str">
        <x:v>P10-A20</x:v>
      </x:c>
      <x:c r="D401" t="str">
        <x:v>P10-A21</x:v>
      </x:c>
      <x:c r="E401" t="str">
        <x:v>FS</x:v>
      </x:c>
      <x:c r="F401" t="n">
        <x:v>0</x:v>
      </x:c>
      <x:c r="G401" t="str">
        <x:v>Within Project</x:v>
      </x:c>
      <x:c r="H401" t="str">
        <x:v>Reconstructed from approved narrative/logic</x:v>
      </x:c>
    </x:row>
    <x:row r="402" ht="21" customHeight="1">
      <x:c r="A402" t="str">
        <x:v>R0413</x:v>
      </x:c>
      <x:c r="B402" t="str">
        <x:v>P10</x:v>
      </x:c>
      <x:c r="C402" t="str">
        <x:v>P10-A21</x:v>
      </x:c>
      <x:c r="D402" t="str">
        <x:v>P10-MSAT</x:v>
      </x:c>
      <x:c r="E402" t="str">
        <x:v>FS</x:v>
      </x:c>
      <x:c r="F402" t="n">
        <x:v>0</x:v>
      </x:c>
      <x:c r="G402" t="str">
        <x:v>Within Project</x:v>
      </x:c>
      <x:c r="H402" t="str">
        <x:v>Reconstructed from approved narrative/logic</x:v>
      </x:c>
    </x:row>
    <x:row r="403" ht="21" customHeight="1">
      <x:c r="A403" t="str">
        <x:v>R0414</x:v>
      </x:c>
      <x:c r="B403" t="str">
        <x:v>P10</x:v>
      </x:c>
      <x:c r="C403" t="str">
        <x:v>P10-A21</x:v>
      </x:c>
      <x:c r="D403" t="str">
        <x:v>P10-A22</x:v>
      </x:c>
      <x:c r="E403" t="str">
        <x:v>FS</x:v>
      </x:c>
      <x:c r="F403" t="n">
        <x:v>0</x:v>
      </x:c>
      <x:c r="G403" t="str">
        <x:v>Within Project</x:v>
      </x:c>
      <x:c r="H403" t="str">
        <x:v>Reconstructed from approved narrative/logic</x:v>
      </x:c>
    </x:row>
    <x:row r="404" ht="21" customHeight="1">
      <x:c r="A404" t="str">
        <x:v>R0415</x:v>
      </x:c>
      <x:c r="B404" t="str">
        <x:v>P10</x:v>
      </x:c>
      <x:c r="C404" t="str">
        <x:v>P10-A21</x:v>
      </x:c>
      <x:c r="D404" t="str">
        <x:v>P10-A23</x:v>
      </x:c>
      <x:c r="E404" t="str">
        <x:v>FS</x:v>
      </x:c>
      <x:c r="F404" t="n">
        <x:v>0</x:v>
      </x:c>
      <x:c r="G404" t="str">
        <x:v>Within Project</x:v>
      </x:c>
      <x:c r="H404" t="str">
        <x:v>Reconstructed from approved narrative/logic</x:v>
      </x:c>
    </x:row>
    <x:row r="405" ht="21" customHeight="1">
      <x:c r="A405" t="str">
        <x:v>R0416</x:v>
      </x:c>
      <x:c r="B405" t="str">
        <x:v>P10</x:v>
      </x:c>
      <x:c r="C405" t="str">
        <x:v>P10-A22</x:v>
      </x:c>
      <x:c r="D405" t="str">
        <x:v>P10-A24</x:v>
      </x:c>
      <x:c r="E405" t="str">
        <x:v>FS</x:v>
      </x:c>
      <x:c r="F405" t="n">
        <x:v>0</x:v>
      </x:c>
      <x:c r="G405" t="str">
        <x:v>Within Project</x:v>
      </x:c>
      <x:c r="H405" t="str">
        <x:v>Reconstructed from approved narrative/logic</x:v>
      </x:c>
    </x:row>
    <x:row r="406" ht="21" customHeight="1">
      <x:c r="A406" t="str">
        <x:v>R0417</x:v>
      </x:c>
      <x:c r="B406" t="str">
        <x:v>P10</x:v>
      </x:c>
      <x:c r="C406" t="str">
        <x:v>P10-A23</x:v>
      </x:c>
      <x:c r="D406" t="str">
        <x:v>P10-A24</x:v>
      </x:c>
      <x:c r="E406" t="str">
        <x:v>FS</x:v>
      </x:c>
      <x:c r="F406" t="n">
        <x:v>0</x:v>
      </x:c>
      <x:c r="G406" t="str">
        <x:v>Within Project</x:v>
      </x:c>
      <x:c r="H406" t="str">
        <x:v>Reconstructed from approved narrative/logic</x:v>
      </x:c>
    </x:row>
    <x:row r="407" ht="21" customHeight="1">
      <x:c r="A407" t="str">
        <x:v>R0418</x:v>
      </x:c>
      <x:c r="B407" t="str">
        <x:v>P10</x:v>
      </x:c>
      <x:c r="C407" t="str">
        <x:v>P10-A24</x:v>
      </x:c>
      <x:c r="D407" t="str">
        <x:v>P10-A25</x:v>
      </x:c>
      <x:c r="E407" t="str">
        <x:v>FS</x:v>
      </x:c>
      <x:c r="F407" t="n">
        <x:v>0</x:v>
      </x:c>
      <x:c r="G407" t="str">
        <x:v>Within Project</x:v>
      </x:c>
      <x:c r="H407" t="str">
        <x:v>Reconstructed from approved narrative/logic</x:v>
      </x:c>
    </x:row>
    <x:row r="408" ht="21" customHeight="1">
      <x:c r="A408" t="str">
        <x:v>R0419</x:v>
      </x:c>
      <x:c r="B408" t="str">
        <x:v>P10</x:v>
      </x:c>
      <x:c r="C408" t="str">
        <x:v>P10-A24</x:v>
      </x:c>
      <x:c r="D408" t="str">
        <x:v>P10-MCUTOVER</x:v>
      </x:c>
      <x:c r="E408" t="str">
        <x:v>FS</x:v>
      </x:c>
      <x:c r="F408" t="n">
        <x:v>0</x:v>
      </x:c>
      <x:c r="G408" t="str">
        <x:v>Within Project</x:v>
      </x:c>
      <x:c r="H408" t="str">
        <x:v>Reconstructed from approved narrative/logic</x:v>
      </x:c>
    </x:row>
    <x:row r="409" ht="21" customHeight="1">
      <x:c r="A409" t="str">
        <x:v>R0420</x:v>
      </x:c>
      <x:c r="B409" t="str">
        <x:v>P10</x:v>
      </x:c>
      <x:c r="C409" t="str">
        <x:v>P10-A25</x:v>
      </x:c>
      <x:c r="D409" t="str">
        <x:v>P10-MOPACC</x:v>
      </x:c>
      <x:c r="E409" t="str">
        <x:v>FS</x:v>
      </x:c>
      <x:c r="F409" t="n">
        <x:v>0</x:v>
      </x:c>
      <x:c r="G409" t="str">
        <x:v>Within Project</x:v>
      </x:c>
      <x:c r="H409" t="str">
        <x:v>Reconstructed from approved narrative/logic</x:v>
      </x:c>
    </x:row>
    <x:row r="410" ht="21" customHeight="1">
      <x:c r="A410" t="str">
        <x:v>R0421</x:v>
      </x:c>
      <x:c r="B410" t="str">
        <x:v>P10</x:v>
      </x:c>
      <x:c r="C410" t="str">
        <x:v>P10-A25</x:v>
      </x:c>
      <x:c r="D410" t="str">
        <x:v>P10-A27</x:v>
      </x:c>
      <x:c r="E410" t="str">
        <x:v>FS</x:v>
      </x:c>
      <x:c r="F410" t="n">
        <x:v>0</x:v>
      </x:c>
      <x:c r="G410" t="str">
        <x:v>Within Project</x:v>
      </x:c>
      <x:c r="H410" t="str">
        <x:v>Reconstructed from approved narrative/logic</x:v>
      </x:c>
    </x:row>
    <x:row r="411" ht="21" customHeight="1">
      <x:c r="A411" t="str">
        <x:v>R0422</x:v>
      </x:c>
      <x:c r="B411" t="str">
        <x:v>P10</x:v>
      </x:c>
      <x:c r="C411" t="str">
        <x:v>P10-A25</x:v>
      </x:c>
      <x:c r="D411" t="str">
        <x:v>P10-A26</x:v>
      </x:c>
      <x:c r="E411" t="str">
        <x:v>FS</x:v>
      </x:c>
      <x:c r="F411" t="n">
        <x:v>0</x:v>
      </x:c>
      <x:c r="G411" t="str">
        <x:v>Within Project</x:v>
      </x:c>
      <x:c r="H411" t="str">
        <x:v>Reconstructed from approved narrative/logic</x:v>
      </x:c>
    </x:row>
    <x:row r="412" ht="21" customHeight="1">
      <x:c r="A412" t="str">
        <x:v>R0423</x:v>
      </x:c>
      <x:c r="B412" t="str">
        <x:v>P10</x:v>
      </x:c>
      <x:c r="C412" t="str">
        <x:v>P10-A27</x:v>
      </x:c>
      <x:c r="D412" t="str">
        <x:v>P10-M3</x:v>
      </x:c>
      <x:c r="E412" t="str">
        <x:v>FS</x:v>
      </x:c>
      <x:c r="F412" t="n">
        <x:v>0</x:v>
      </x:c>
      <x:c r="G412" t="str">
        <x:v>Within Project</x:v>
      </x:c>
      <x:c r="H412" t="str">
        <x:v>Reconstructed from approved narrative/logic</x:v>
      </x:c>
    </x:row>
    <x:row r="413" ht="21" customHeight="1">
      <x:c r="A413" t="str">
        <x:v>R0424</x:v>
      </x:c>
      <x:c r="B413" t="str">
        <x:v>P10</x:v>
      </x:c>
      <x:c r="C413" t="str">
        <x:v>P10-A26</x:v>
      </x:c>
      <x:c r="D413" t="str">
        <x:v>P10-A28</x:v>
      </x:c>
      <x:c r="E413" t="str">
        <x:v>FS</x:v>
      </x:c>
      <x:c r="F413" t="n">
        <x:v>5</x:v>
      </x:c>
      <x:c r="G413" t="str">
        <x:v>Within Project</x:v>
      </x:c>
      <x:c r="H413" t="str">
        <x:v>Recovered by reconciliation to approved P10 M4 date; original executable script unavailable</x:v>
      </x:c>
    </x:row>
    <x:row r="414" ht="21" customHeight="1">
      <x:c r="A414" t="str">
        <x:v>R0425</x:v>
      </x:c>
      <x:c r="B414" t="str">
        <x:v>P10</x:v>
      </x:c>
      <x:c r="C414" t="str">
        <x:v>P10-A27</x:v>
      </x:c>
      <x:c r="D414" t="str">
        <x:v>P10-A28</x:v>
      </x:c>
      <x:c r="E414" t="str">
        <x:v>FF</x:v>
      </x:c>
      <x:c r="F414" t="n">
        <x:v>0</x:v>
      </x:c>
      <x:c r="G414" t="str">
        <x:v>Within Project</x:v>
      </x:c>
      <x:c r="H414" t="str">
        <x:v>Reconstructed from approved narrative/logic</x:v>
      </x:c>
    </x:row>
    <x:row r="415" ht="21" customHeight="1">
      <x:c r="A415" t="str">
        <x:v>R0426</x:v>
      </x:c>
      <x:c r="B415" t="str">
        <x:v>P10</x:v>
      </x:c>
      <x:c r="C415" t="str">
        <x:v>P10-A28</x:v>
      </x:c>
      <x:c r="D415" t="str">
        <x:v>P10-M4</x:v>
      </x:c>
      <x:c r="E415" t="str">
        <x:v>FS</x:v>
      </x:c>
      <x:c r="F415" t="n">
        <x:v>0</x:v>
      </x:c>
      <x:c r="G415" t="str">
        <x:v>Within Project</x:v>
      </x:c>
      <x:c r="H415" t="str">
        <x:v>Reconstructed from approved narrative/logic</x:v>
      </x:c>
    </x:row>
    <x:row r="416" ht="21" customHeight="1">
      <x:c r="A416" t="str">
        <x:v>R0427</x:v>
      </x:c>
      <x:c r="B416" t="str">
        <x:v>P11</x:v>
      </x:c>
      <x:c r="C416" t="str">
        <x:v>P11-A1</x:v>
      </x:c>
      <x:c r="D416" t="str">
        <x:v>P11-A2</x:v>
      </x:c>
      <x:c r="E416" t="str">
        <x:v>FS</x:v>
      </x:c>
      <x:c r="F416" t="n">
        <x:v>0</x:v>
      </x:c>
      <x:c r="G416" t="str">
        <x:v>Within Project</x:v>
      </x:c>
      <x:c r="H416" t="str">
        <x:v>Reconstructed from approved narrative/logic</x:v>
      </x:c>
    </x:row>
    <x:row r="417" ht="21" customHeight="1">
      <x:c r="A417" t="str">
        <x:v>R0428</x:v>
      </x:c>
      <x:c r="B417" t="str">
        <x:v>P11</x:v>
      </x:c>
      <x:c r="C417" t="str">
        <x:v>P11-A2</x:v>
      </x:c>
      <x:c r="D417" t="str">
        <x:v>P11-A3</x:v>
      </x:c>
      <x:c r="E417" t="str">
        <x:v>FS</x:v>
      </x:c>
      <x:c r="F417" t="n">
        <x:v>0</x:v>
      </x:c>
      <x:c r="G417" t="str">
        <x:v>Within Project</x:v>
      </x:c>
      <x:c r="H417" t="str">
        <x:v>Reconstructed from approved narrative/logic</x:v>
      </x:c>
    </x:row>
    <x:row r="418" ht="21" customHeight="1">
      <x:c r="A418" t="str">
        <x:v>R0429</x:v>
      </x:c>
      <x:c r="B418" t="str">
        <x:v>P11</x:v>
      </x:c>
      <x:c r="C418" t="str">
        <x:v>P11-A3</x:v>
      </x:c>
      <x:c r="D418" t="str">
        <x:v>P11-A4</x:v>
      </x:c>
      <x:c r="E418" t="str">
        <x:v>FS</x:v>
      </x:c>
      <x:c r="F418" t="n">
        <x:v>5</x:v>
      </x:c>
      <x:c r="G418" t="str">
        <x:v>Within Project</x:v>
      </x:c>
      <x:c r="H418" t="str">
        <x:v>Reconstructed from approved narrative/logic</x:v>
      </x:c>
    </x:row>
    <x:row r="419" ht="21" customHeight="1">
      <x:c r="A419" t="str">
        <x:v>R0430</x:v>
      </x:c>
      <x:c r="B419" t="str">
        <x:v>P11</x:v>
      </x:c>
      <x:c r="C419" t="str">
        <x:v>P11-A4</x:v>
      </x:c>
      <x:c r="D419" t="str">
        <x:v>P11-M1</x:v>
      </x:c>
      <x:c r="E419" t="str">
        <x:v>FS</x:v>
      </x:c>
      <x:c r="F419" t="n">
        <x:v>0</x:v>
      </x:c>
      <x:c r="G419" t="str">
        <x:v>Within Project</x:v>
      </x:c>
      <x:c r="H419" t="str">
        <x:v>Reconstructed from approved narrative/logic</x:v>
      </x:c>
    </x:row>
    <x:row r="420" ht="21" customHeight="1">
      <x:c r="A420" t="str">
        <x:v>R0431</x:v>
      </x:c>
      <x:c r="B420" t="str">
        <x:v>P11</x:v>
      </x:c>
      <x:c r="C420" t="str">
        <x:v>P11-A4</x:v>
      </x:c>
      <x:c r="D420" t="str">
        <x:v>P11-A5</x:v>
      </x:c>
      <x:c r="E420" t="str">
        <x:v>SS</x:v>
      </x:c>
      <x:c r="F420" t="n">
        <x:v>10</x:v>
      </x:c>
      <x:c r="G420" t="str">
        <x:v>Within Project</x:v>
      </x:c>
      <x:c r="H420" t="str">
        <x:v>Reconstructed from approved narrative/logic</x:v>
      </x:c>
    </x:row>
    <x:row r="421" ht="21" customHeight="1">
      <x:c r="A421" t="str">
        <x:v>R0432</x:v>
      </x:c>
      <x:c r="B421" t="str">
        <x:v>P11</x:v>
      </x:c>
      <x:c r="C421" t="str">
        <x:v>P11-A5</x:v>
      </x:c>
      <x:c r="D421" t="str">
        <x:v>P11-A5b</x:v>
      </x:c>
      <x:c r="E421" t="str">
        <x:v>FS</x:v>
      </x:c>
      <x:c r="F421" t="n">
        <x:v>0</x:v>
      </x:c>
      <x:c r="G421" t="str">
        <x:v>Within Project</x:v>
      </x:c>
      <x:c r="H421" t="str">
        <x:v>Reconstructed from approved narrative/logic</x:v>
      </x:c>
    </x:row>
    <x:row r="422" ht="21" customHeight="1">
      <x:c r="A422" t="str">
        <x:v>R0433</x:v>
      </x:c>
      <x:c r="B422" t="str">
        <x:v>P11</x:v>
      </x:c>
      <x:c r="C422" t="str">
        <x:v>P11-A5b</x:v>
      </x:c>
      <x:c r="D422" t="str">
        <x:v>P11-A5c</x:v>
      </x:c>
      <x:c r="E422" t="str">
        <x:v>FS</x:v>
      </x:c>
      <x:c r="F422" t="n">
        <x:v>0</x:v>
      </x:c>
      <x:c r="G422" t="str">
        <x:v>Within Project</x:v>
      </x:c>
      <x:c r="H422" t="str">
        <x:v>Reconstructed from approved narrative/logic</x:v>
      </x:c>
    </x:row>
    <x:row r="423" ht="21" customHeight="1">
      <x:c r="A423" t="str">
        <x:v>R0434</x:v>
      </x:c>
      <x:c r="B423" t="str">
        <x:v>P11</x:v>
      </x:c>
      <x:c r="C423" t="str">
        <x:v>P11-A5c</x:v>
      </x:c>
      <x:c r="D423" t="str">
        <x:v>P11-M2</x:v>
      </x:c>
      <x:c r="E423" t="str">
        <x:v>FS</x:v>
      </x:c>
      <x:c r="F423" t="n">
        <x:v>5</x:v>
      </x:c>
      <x:c r="G423" t="str">
        <x:v>Within Project</x:v>
      </x:c>
      <x:c r="H423" t="str">
        <x:v>Reconstructed from approved narrative/logic | USER-APPROVED SYNTHETIC POST-GOVERNING-APPROVAL NTP RELEASE HOLD: 5 business days (not recovered original)</x:v>
      </x:c>
    </x:row>
    <x:row r="424" ht="21" customHeight="1">
      <x:c r="A424" t="str">
        <x:v>R0435</x:v>
      </x:c>
      <x:c r="B424" t="str">
        <x:v>P11</x:v>
      </x:c>
      <x:c r="C424" t="str">
        <x:v>P11-M2</x:v>
      </x:c>
      <x:c r="D424" t="str">
        <x:v>P11-A6</x:v>
      </x:c>
      <x:c r="E424" t="str">
        <x:v>FS</x:v>
      </x:c>
      <x:c r="F424" t="n">
        <x:v>0</x:v>
      </x:c>
      <x:c r="G424" t="str">
        <x:v>Within Project</x:v>
      </x:c>
      <x:c r="H424" t="str">
        <x:v>Reconstructed from approved narrative/logic</x:v>
      </x:c>
    </x:row>
    <x:row r="425" ht="21" customHeight="1">
      <x:c r="A425" t="str">
        <x:v>R0436</x:v>
      </x:c>
      <x:c r="B425" t="str">
        <x:v>P11</x:v>
      </x:c>
      <x:c r="C425" t="str">
        <x:v>P11-M2</x:v>
      </x:c>
      <x:c r="D425" t="str">
        <x:v>P11-A7</x:v>
      </x:c>
      <x:c r="E425" t="str">
        <x:v>FS</x:v>
      </x:c>
      <x:c r="F425" t="n">
        <x:v>0</x:v>
      </x:c>
      <x:c r="G425" t="str">
        <x:v>Within Project</x:v>
      </x:c>
      <x:c r="H425" t="str">
        <x:v>Reconstructed from approved narrative/logic</x:v>
      </x:c>
    </x:row>
    <x:row r="426" ht="21" customHeight="1">
      <x:c r="A426" t="str">
        <x:v>R0437</x:v>
      </x:c>
      <x:c r="B426" t="str">
        <x:v>P11</x:v>
      </x:c>
      <x:c r="C426" t="str">
        <x:v>P11-M2</x:v>
      </x:c>
      <x:c r="D426" t="str">
        <x:v>P11-A8</x:v>
      </x:c>
      <x:c r="E426" t="str">
        <x:v>FS</x:v>
      </x:c>
      <x:c r="F426" t="n">
        <x:v>0</x:v>
      </x:c>
      <x:c r="G426" t="str">
        <x:v>Within Project</x:v>
      </x:c>
      <x:c r="H426" t="str">
        <x:v>Reconstructed from approved narrative/logic</x:v>
      </x:c>
    </x:row>
    <x:row r="427" ht="21" customHeight="1">
      <x:c r="A427" t="str">
        <x:v>R0438</x:v>
      </x:c>
      <x:c r="B427" t="str">
        <x:v>P11</x:v>
      </x:c>
      <x:c r="C427" t="str">
        <x:v>P11-M2</x:v>
      </x:c>
      <x:c r="D427" t="str">
        <x:v>P11-A9</x:v>
      </x:c>
      <x:c r="E427" t="str">
        <x:v>FS</x:v>
      </x:c>
      <x:c r="F427" t="n">
        <x:v>0</x:v>
      </x:c>
      <x:c r="G427" t="str">
        <x:v>Within Project</x:v>
      </x:c>
      <x:c r="H427" t="str">
        <x:v>Reconstructed from approved narrative/logic</x:v>
      </x:c>
    </x:row>
    <x:row r="428" ht="21" customHeight="1">
      <x:c r="A428" t="str">
        <x:v>R0439</x:v>
      </x:c>
      <x:c r="B428" t="str">
        <x:v>P11</x:v>
      </x:c>
      <x:c r="C428" t="str">
        <x:v>P11-M2</x:v>
      </x:c>
      <x:c r="D428" t="str">
        <x:v>P11-A10</x:v>
      </x:c>
      <x:c r="E428" t="str">
        <x:v>FS</x:v>
      </x:c>
      <x:c r="F428" t="n">
        <x:v>0</x:v>
      </x:c>
      <x:c r="G428" t="str">
        <x:v>Within Project</x:v>
      </x:c>
      <x:c r="H428" t="str">
        <x:v>Reconstructed from approved narrative/logic</x:v>
      </x:c>
    </x:row>
    <x:row r="429" ht="21" customHeight="1">
      <x:c r="A429" t="str">
        <x:v>R0440</x:v>
      </x:c>
      <x:c r="B429" t="str">
        <x:v>P11</x:v>
      </x:c>
      <x:c r="C429" t="str">
        <x:v>P11-A6</x:v>
      </x:c>
      <x:c r="D429" t="str">
        <x:v>P11-B1inst</x:v>
      </x:c>
      <x:c r="E429" t="str">
        <x:v>FS</x:v>
      </x:c>
      <x:c r="F429" t="n">
        <x:v>0</x:v>
      </x:c>
      <x:c r="G429" t="str">
        <x:v>Within Project</x:v>
      </x:c>
      <x:c r="H429" t="str">
        <x:v>Reconstructed from approved narrative/logic</x:v>
      </x:c>
    </x:row>
    <x:row r="430" ht="21" customHeight="1">
      <x:c r="A430" t="str">
        <x:v>R0441</x:v>
      </x:c>
      <x:c r="B430" t="str">
        <x:v>P11</x:v>
      </x:c>
      <x:c r="C430" t="str">
        <x:v>P11-A7</x:v>
      </x:c>
      <x:c r="D430" t="str">
        <x:v>P11-B1inst</x:v>
      </x:c>
      <x:c r="E430" t="str">
        <x:v>FS</x:v>
      </x:c>
      <x:c r="F430" t="n">
        <x:v>0</x:v>
      </x:c>
      <x:c r="G430" t="str">
        <x:v>Within Project</x:v>
      </x:c>
      <x:c r="H430" t="str">
        <x:v>Reconstructed from approved narrative/logic</x:v>
      </x:c>
    </x:row>
    <x:row r="431" ht="21" customHeight="1">
      <x:c r="A431" t="str">
        <x:v>R0442</x:v>
      </x:c>
      <x:c r="B431" t="str">
        <x:v>P11</x:v>
      </x:c>
      <x:c r="C431" t="str">
        <x:v>P11-A8</x:v>
      </x:c>
      <x:c r="D431" t="str">
        <x:v>P11-B1inst</x:v>
      </x:c>
      <x:c r="E431" t="str">
        <x:v>FS</x:v>
      </x:c>
      <x:c r="F431" t="n">
        <x:v>0</x:v>
      </x:c>
      <x:c r="G431" t="str">
        <x:v>Within Project</x:v>
      </x:c>
      <x:c r="H431" t="str">
        <x:v>Reconstructed from approved narrative/logic</x:v>
      </x:c>
    </x:row>
    <x:row r="432" ht="21" customHeight="1">
      <x:c r="A432" t="str">
        <x:v>R0443</x:v>
      </x:c>
      <x:c r="B432" t="str">
        <x:v>P11</x:v>
      </x:c>
      <x:c r="C432" t="str">
        <x:v>P11-A9</x:v>
      </x:c>
      <x:c r="D432" t="str">
        <x:v>P11-B1inst</x:v>
      </x:c>
      <x:c r="E432" t="str">
        <x:v>FS</x:v>
      </x:c>
      <x:c r="F432" t="n">
        <x:v>0</x:v>
      </x:c>
      <x:c r="G432" t="str">
        <x:v>Within Project</x:v>
      </x:c>
      <x:c r="H432" t="str">
        <x:v>Reconstructed from approved narrative/logic</x:v>
      </x:c>
    </x:row>
    <x:row r="433" ht="21" customHeight="1">
      <x:c r="A433" t="str">
        <x:v>R0444</x:v>
      </x:c>
      <x:c r="B433" t="str">
        <x:v>P11</x:v>
      </x:c>
      <x:c r="C433" t="str">
        <x:v>P11-A10</x:v>
      </x:c>
      <x:c r="D433" t="str">
        <x:v>P11-B1inst</x:v>
      </x:c>
      <x:c r="E433" t="str">
        <x:v>FS</x:v>
      </x:c>
      <x:c r="F433" t="n">
        <x:v>0</x:v>
      </x:c>
      <x:c r="G433" t="str">
        <x:v>Within Project</x:v>
      </x:c>
      <x:c r="H433" t="str">
        <x:v>Reconstructed from approved narrative/logic</x:v>
      </x:c>
    </x:row>
    <x:row r="434" ht="21" customHeight="1">
      <x:c r="A434" t="str">
        <x:v>R0445</x:v>
      </x:c>
      <x:c r="B434" t="str">
        <x:v>P11</x:v>
      </x:c>
      <x:c r="C434" t="str">
        <x:v>P11-B1inst</x:v>
      </x:c>
      <x:c r="D434" t="str">
        <x:v>P11-B2inst</x:v>
      </x:c>
      <x:c r="E434" t="str">
        <x:v>SS</x:v>
      </x:c>
      <x:c r="F434" t="n">
        <x:v>25</x:v>
      </x:c>
      <x:c r="G434" t="str">
        <x:v>Within Project</x:v>
      </x:c>
      <x:c r="H434" t="str">
        <x:v>Reconstructed from approved narrative/logic</x:v>
      </x:c>
    </x:row>
    <x:row r="435" ht="21" customHeight="1">
      <x:c r="A435" t="str">
        <x:v>R0446</x:v>
      </x:c>
      <x:c r="B435" t="str">
        <x:v>P11</x:v>
      </x:c>
      <x:c r="C435" t="str">
        <x:v>P11-B1inst</x:v>
      </x:c>
      <x:c r="D435" t="str">
        <x:v>P11-AFIRST</x:v>
      </x:c>
      <x:c r="E435" t="str">
        <x:v>SS</x:v>
      </x:c>
      <x:c r="F435" t="n">
        <x:v>0</x:v>
      </x:c>
      <x:c r="G435" t="str">
        <x:v>Within Project</x:v>
      </x:c>
      <x:c r="H435" t="str">
        <x:v>Reconstructed from approved narrative/logic</x:v>
      </x:c>
    </x:row>
    <x:row r="436" ht="21" customHeight="1">
      <x:c r="A436" t="str">
        <x:v>R0447</x:v>
      </x:c>
      <x:c r="B436" t="str">
        <x:v>P11</x:v>
      </x:c>
      <x:c r="C436" t="str">
        <x:v>P11-AFIRST</x:v>
      </x:c>
      <x:c r="D436" t="str">
        <x:v>P11-MFIRST</x:v>
      </x:c>
      <x:c r="E436" t="str">
        <x:v>FS</x:v>
      </x:c>
      <x:c r="F436" t="n">
        <x:v>0</x:v>
      </x:c>
      <x:c r="G436" t="str">
        <x:v>Within Project</x:v>
      </x:c>
      <x:c r="H436" t="str">
        <x:v>Reconstructed from approved narrative/logic</x:v>
      </x:c>
    </x:row>
    <x:row r="437" ht="21" customHeight="1">
      <x:c r="A437" t="str">
        <x:v>R0448</x:v>
      </x:c>
      <x:c r="B437" t="str">
        <x:v>P11</x:v>
      </x:c>
      <x:c r="C437" t="str">
        <x:v>P11-B1inst</x:v>
      </x:c>
      <x:c r="D437" t="str">
        <x:v>P11-MBATCH1</x:v>
      </x:c>
      <x:c r="E437" t="str">
        <x:v>FS</x:v>
      </x:c>
      <x:c r="F437" t="n">
        <x:v>0</x:v>
      </x:c>
      <x:c r="G437" t="str">
        <x:v>Within Project</x:v>
      </x:c>
      <x:c r="H437" t="str">
        <x:v>Reconstructed from approved narrative/logic</x:v>
      </x:c>
    </x:row>
    <x:row r="438" ht="21" customHeight="1">
      <x:c r="A438" t="str">
        <x:v>R0449</x:v>
      </x:c>
      <x:c r="B438" t="str">
        <x:v>P11</x:v>
      </x:c>
      <x:c r="C438" t="str">
        <x:v>P11-B2inst</x:v>
      </x:c>
      <x:c r="D438" t="str">
        <x:v>P11-MTARGET</x:v>
      </x:c>
      <x:c r="E438" t="str">
        <x:v>FS</x:v>
      </x:c>
      <x:c r="F438" t="n">
        <x:v>0</x:v>
      </x:c>
      <x:c r="G438" t="str">
        <x:v>Within Project</x:v>
      </x:c>
      <x:c r="H438" t="str">
        <x:v>Reconstructed from approved narrative/logic</x:v>
      </x:c>
    </x:row>
    <x:row r="439" ht="21" customHeight="1">
      <x:c r="A439" t="str">
        <x:v>R0450</x:v>
      </x:c>
      <x:c r="B439" t="str">
        <x:v>P11</x:v>
      </x:c>
      <x:c r="C439" t="str">
        <x:v>P11-B1inst</x:v>
      </x:c>
      <x:c r="D439" t="str">
        <x:v>P11-B1test</x:v>
      </x:c>
      <x:c r="E439" t="str">
        <x:v>FS</x:v>
      </x:c>
      <x:c r="F439" t="n">
        <x:v>0</x:v>
      </x:c>
      <x:c r="G439" t="str">
        <x:v>Within Project</x:v>
      </x:c>
      <x:c r="H439" t="str">
        <x:v>Reconstructed from approved narrative/logic</x:v>
      </x:c>
    </x:row>
    <x:row r="440" ht="21" customHeight="1">
      <x:c r="A440" t="str">
        <x:v>R0451</x:v>
      </x:c>
      <x:c r="B440" t="str">
        <x:v>P11</x:v>
      </x:c>
      <x:c r="C440" t="str">
        <x:v>P11-B1inst</x:v>
      </x:c>
      <x:c r="D440" t="str">
        <x:v>P11-B1rest</x:v>
      </x:c>
      <x:c r="E440" t="str">
        <x:v>SS</x:v>
      </x:c>
      <x:c r="F440" t="n">
        <x:v>20</x:v>
      </x:c>
      <x:c r="G440" t="str">
        <x:v>Within Project</x:v>
      </x:c>
      <x:c r="H440" t="str">
        <x:v>Recovered by milestone/duration reconciliation; original executable script unavailable</x:v>
      </x:c>
    </x:row>
    <x:row r="441" ht="21" customHeight="1">
      <x:c r="A441" t="str">
        <x:v>R0452</x:v>
      </x:c>
      <x:c r="B441" t="str">
        <x:v>P11</x:v>
      </x:c>
      <x:c r="C441" t="str">
        <x:v>P11-B1rest</x:v>
      </x:c>
      <x:c r="D441" t="str">
        <x:v>P11-B1gis</x:v>
      </x:c>
      <x:c r="E441" t="str">
        <x:v>FS</x:v>
      </x:c>
      <x:c r="F441" t="n">
        <x:v>0</x:v>
      </x:c>
      <x:c r="G441" t="str">
        <x:v>Within Project</x:v>
      </x:c>
      <x:c r="H441" t="str">
        <x:v>Reconstructed from approved narrative/logic</x:v>
      </x:c>
    </x:row>
    <x:row r="442" ht="21" customHeight="1">
      <x:c r="A442" t="str">
        <x:v>R0453</x:v>
      </x:c>
      <x:c r="B442" t="str">
        <x:v>P11</x:v>
      </x:c>
      <x:c r="C442" t="str">
        <x:v>P11-B2inst</x:v>
      </x:c>
      <x:c r="D442" t="str">
        <x:v>P11-B2test</x:v>
      </x:c>
      <x:c r="E442" t="str">
        <x:v>FS</x:v>
      </x:c>
      <x:c r="F442" t="n">
        <x:v>0</x:v>
      </x:c>
      <x:c r="G442" t="str">
        <x:v>Within Project</x:v>
      </x:c>
      <x:c r="H442" t="str">
        <x:v>Reconstructed from approved narrative/logic</x:v>
      </x:c>
    </x:row>
    <x:row r="443" ht="21" customHeight="1">
      <x:c r="A443" t="str">
        <x:v>R0454</x:v>
      </x:c>
      <x:c r="B443" t="str">
        <x:v>P11</x:v>
      </x:c>
      <x:c r="C443" t="str">
        <x:v>P11-B2inst</x:v>
      </x:c>
      <x:c r="D443" t="str">
        <x:v>P11-B2rest</x:v>
      </x:c>
      <x:c r="E443" t="str">
        <x:v>SS</x:v>
      </x:c>
      <x:c r="F443" t="n">
        <x:v>20</x:v>
      </x:c>
      <x:c r="G443" t="str">
        <x:v>Within Project</x:v>
      </x:c>
      <x:c r="H443" t="str">
        <x:v>Recovered by milestone/duration reconciliation; original executable script unavailable</x:v>
      </x:c>
    </x:row>
    <x:row r="444" ht="21" customHeight="1">
      <x:c r="A444" t="str">
        <x:v>R0455</x:v>
      </x:c>
      <x:c r="B444" t="str">
        <x:v>P11</x:v>
      </x:c>
      <x:c r="C444" t="str">
        <x:v>P11-B2rest</x:v>
      </x:c>
      <x:c r="D444" t="str">
        <x:v>P11-B2gis</x:v>
      </x:c>
      <x:c r="E444" t="str">
        <x:v>FS</x:v>
      </x:c>
      <x:c r="F444" t="n">
        <x:v>0</x:v>
      </x:c>
      <x:c r="G444" t="str">
        <x:v>Within Project</x:v>
      </x:c>
      <x:c r="H444" t="str">
        <x:v>Reconstructed from approved narrative/logic</x:v>
      </x:c>
    </x:row>
    <x:row r="445" ht="21" customHeight="1">
      <x:c r="A445" t="str">
        <x:v>R0456</x:v>
      </x:c>
      <x:c r="B445" t="str">
        <x:v>P11</x:v>
      </x:c>
      <x:c r="C445" t="str">
        <x:v>P11-B1gis</x:v>
      </x:c>
      <x:c r="D445" t="str">
        <x:v>P11-A11</x:v>
      </x:c>
      <x:c r="E445" t="str">
        <x:v>FS</x:v>
      </x:c>
      <x:c r="F445" t="n">
        <x:v>0</x:v>
      </x:c>
      <x:c r="G445" t="str">
        <x:v>Within Project</x:v>
      </x:c>
      <x:c r="H445" t="str">
        <x:v>Reconstructed from approved narrative/logic</x:v>
      </x:c>
    </x:row>
    <x:row r="446" ht="21" customHeight="1">
      <x:c r="A446" t="str">
        <x:v>R0457</x:v>
      </x:c>
      <x:c r="B446" t="str">
        <x:v>P11</x:v>
      </x:c>
      <x:c r="C446" t="str">
        <x:v>P11-B2gis</x:v>
      </x:c>
      <x:c r="D446" t="str">
        <x:v>P11-A11</x:v>
      </x:c>
      <x:c r="E446" t="str">
        <x:v>FS</x:v>
      </x:c>
      <x:c r="F446" t="n">
        <x:v>0</x:v>
      </x:c>
      <x:c r="G446" t="str">
        <x:v>Within Project</x:v>
      </x:c>
      <x:c r="H446" t="str">
        <x:v>Reconstructed from approved narrative/logic</x:v>
      </x:c>
    </x:row>
    <x:row r="447" ht="21" customHeight="1">
      <x:c r="A447" t="str">
        <x:v>R0458</x:v>
      </x:c>
      <x:c r="B447" t="str">
        <x:v>P11</x:v>
      </x:c>
      <x:c r="C447" t="str">
        <x:v>P11-A11</x:v>
      </x:c>
      <x:c r="D447" t="str">
        <x:v>P11-MISOVERIFY</x:v>
      </x:c>
      <x:c r="E447" t="str">
        <x:v>FS</x:v>
      </x:c>
      <x:c r="F447" t="n">
        <x:v>0</x:v>
      </x:c>
      <x:c r="G447" t="str">
        <x:v>Within Project</x:v>
      </x:c>
      <x:c r="H447" t="str">
        <x:v>Reconstructed from approved narrative/logic</x:v>
      </x:c>
    </x:row>
    <x:row r="448" ht="21" customHeight="1">
      <x:c r="A448" t="str">
        <x:v>R0459</x:v>
      </x:c>
      <x:c r="B448" t="str">
        <x:v>P11</x:v>
      </x:c>
      <x:c r="C448" t="str">
        <x:v>P11-A11</x:v>
      </x:c>
      <x:c r="D448" t="str">
        <x:v>P11-M3</x:v>
      </x:c>
      <x:c r="E448" t="str">
        <x:v>FS</x:v>
      </x:c>
      <x:c r="F448" t="n">
        <x:v>0</x:v>
      </x:c>
      <x:c r="G448" t="str">
        <x:v>Within Project</x:v>
      </x:c>
      <x:c r="H448" t="str">
        <x:v>Reconstructed from approved narrative/logic</x:v>
      </x:c>
    </x:row>
    <x:row r="449" ht="21" customHeight="1">
      <x:c r="A449" t="str">
        <x:v>R0460</x:v>
      </x:c>
      <x:c r="B449" t="str">
        <x:v>P11</x:v>
      </x:c>
      <x:c r="C449" t="str">
        <x:v>P11-A11</x:v>
      </x:c>
      <x:c r="D449" t="str">
        <x:v>P11-A12</x:v>
      </x:c>
      <x:c r="E449" t="str">
        <x:v>FS</x:v>
      </x:c>
      <x:c r="F449" t="n">
        <x:v>0</x:v>
      </x:c>
      <x:c r="G449" t="str">
        <x:v>Within Project</x:v>
      </x:c>
      <x:c r="H449" t="str">
        <x:v>Reconstructed from approved narrative/logic</x:v>
      </x:c>
    </x:row>
    <x:row r="450" ht="21" customHeight="1">
      <x:c r="A450" t="str">
        <x:v>R0461</x:v>
      </x:c>
      <x:c r="B450" t="str">
        <x:v>P11</x:v>
      </x:c>
      <x:c r="C450" t="str">
        <x:v>P11-A12</x:v>
      </x:c>
      <x:c r="D450" t="str">
        <x:v>P11-A13</x:v>
      </x:c>
      <x:c r="E450" t="str">
        <x:v>SS</x:v>
      </x:c>
      <x:c r="F450" t="n">
        <x:v>5</x:v>
      </x:c>
      <x:c r="G450" t="str">
        <x:v>Within Project</x:v>
      </x:c>
      <x:c r="H450" t="str">
        <x:v>Recovered by reconciliation to approved P11 M4 date and published closeout durations</x:v>
      </x:c>
    </x:row>
    <x:row r="451" ht="21" customHeight="1">
      <x:c r="A451" t="str">
        <x:v>R0462</x:v>
      </x:c>
      <x:c r="B451" t="str">
        <x:v>P11</x:v>
      </x:c>
      <x:c r="C451" t="str">
        <x:v>P11-A13</x:v>
      </x:c>
      <x:c r="D451" t="str">
        <x:v>P11-M4</x:v>
      </x:c>
      <x:c r="E451" t="str">
        <x:v>FS</x:v>
      </x:c>
      <x:c r="F451" t="n">
        <x:v>0</x:v>
      </x:c>
      <x:c r="G451" t="str">
        <x:v>Within Project</x:v>
      </x:c>
      <x:c r="H451" t="str">
        <x:v>Reconstructed from approved narrative/logic</x:v>
      </x:c>
    </x:row>
    <x:row r="452" ht="21" customHeight="1">
      <x:c r="A452" t="str">
        <x:v>R0463</x:v>
      </x:c>
      <x:c r="B452" t="str">
        <x:v>P12</x:v>
      </x:c>
      <x:c r="C452" t="str">
        <x:v>P12-Y1A1</x:v>
      </x:c>
      <x:c r="D452" t="str">
        <x:v>P12-Y1A2</x:v>
      </x:c>
      <x:c r="E452" t="str">
        <x:v>FS</x:v>
      </x:c>
      <x:c r="F452" t="n">
        <x:v>0</x:v>
      </x:c>
      <x:c r="G452" t="str">
        <x:v>Within Project</x:v>
      </x:c>
      <x:c r="H452" t="str">
        <x:v>Reconstructed from approved narrative/logic</x:v>
      </x:c>
    </x:row>
    <x:row r="453" ht="21" customHeight="1">
      <x:c r="A453" t="str">
        <x:v>R0464</x:v>
      </x:c>
      <x:c r="B453" t="str">
        <x:v>P12</x:v>
      </x:c>
      <x:c r="C453" t="str">
        <x:v>P12-Y1A2</x:v>
      </x:c>
      <x:c r="D453" t="str">
        <x:v>P12-Y1A3</x:v>
      </x:c>
      <x:c r="E453" t="str">
        <x:v>FS</x:v>
      </x:c>
      <x:c r="F453" t="n">
        <x:v>0</x:v>
      </x:c>
      <x:c r="G453" t="str">
        <x:v>Within Project</x:v>
      </x:c>
      <x:c r="H453" t="str">
        <x:v>Reconstructed from approved narrative/logic</x:v>
      </x:c>
    </x:row>
    <x:row r="454" ht="21" customHeight="1">
      <x:c r="A454" t="str">
        <x:v>R0465</x:v>
      </x:c>
      <x:c r="B454" t="str">
        <x:v>P12</x:v>
      </x:c>
      <x:c r="C454" t="str">
        <x:v>P12-Y1A3</x:v>
      </x:c>
      <x:c r="D454" t="str">
        <x:v>P12-Y1A4</x:v>
      </x:c>
      <x:c r="E454" t="str">
        <x:v>FS</x:v>
      </x:c>
      <x:c r="F454" t="n">
        <x:v>0</x:v>
      </x:c>
      <x:c r="G454" t="str">
        <x:v>Within Project</x:v>
      </x:c>
      <x:c r="H454" t="str">
        <x:v>Reconstructed from approved narrative/logic</x:v>
      </x:c>
    </x:row>
    <x:row r="455" ht="21" customHeight="1">
      <x:c r="A455" t="str">
        <x:v>R0466</x:v>
      </x:c>
      <x:c r="B455" t="str">
        <x:v>P12</x:v>
      </x:c>
      <x:c r="C455" t="str">
        <x:v>P12-Y1A4</x:v>
      </x:c>
      <x:c r="D455" t="str">
        <x:v>P12-Y1A5</x:v>
      </x:c>
      <x:c r="E455" t="str">
        <x:v>FS</x:v>
      </x:c>
      <x:c r="F455" t="n">
        <x:v>0</x:v>
      </x:c>
      <x:c r="G455" t="str">
        <x:v>Within Project</x:v>
      </x:c>
      <x:c r="H455" t="str">
        <x:v>Reconstructed from approved narrative/logic</x:v>
      </x:c>
    </x:row>
    <x:row r="456" ht="21" customHeight="1">
      <x:c r="A456" t="str">
        <x:v>R0467</x:v>
      </x:c>
      <x:c r="B456" t="str">
        <x:v>P12</x:v>
      </x:c>
      <x:c r="C456" t="str">
        <x:v>P12-Y1A5</x:v>
      </x:c>
      <x:c r="D456" t="str">
        <x:v>P12-Y1A6</x:v>
      </x:c>
      <x:c r="E456" t="str">
        <x:v>FS</x:v>
      </x:c>
      <x:c r="F456" t="n">
        <x:v>0</x:v>
      </x:c>
      <x:c r="G456" t="str">
        <x:v>Within Project</x:v>
      </x:c>
      <x:c r="H456" t="str">
        <x:v>Reconstructed from approved narrative/logic</x:v>
      </x:c>
    </x:row>
    <x:row r="457" ht="21" customHeight="1">
      <x:c r="A457" t="str">
        <x:v>R0468</x:v>
      </x:c>
      <x:c r="B457" t="str">
        <x:v>P12</x:v>
      </x:c>
      <x:c r="C457" t="str">
        <x:v>P12-Y1A6</x:v>
      </x:c>
      <x:c r="D457" t="str">
        <x:v>P12-Y1A7</x:v>
      </x:c>
      <x:c r="E457" t="str">
        <x:v>FS</x:v>
      </x:c>
      <x:c r="F457" t="n">
        <x:v>0</x:v>
      </x:c>
      <x:c r="G457" t="str">
        <x:v>Within Project</x:v>
      </x:c>
      <x:c r="H457" t="str">
        <x:v>Reconstructed from approved narrative/logic</x:v>
      </x:c>
    </x:row>
    <x:row r="458" ht="21" customHeight="1">
      <x:c r="A458" t="str">
        <x:v>R0469</x:v>
      </x:c>
      <x:c r="B458" t="str">
        <x:v>P12</x:v>
      </x:c>
      <x:c r="C458" t="str">
        <x:v>P12-Y1A7</x:v>
      </x:c>
      <x:c r="D458" t="str">
        <x:v>P12-Y1A8</x:v>
      </x:c>
      <x:c r="E458" t="str">
        <x:v>FS</x:v>
      </x:c>
      <x:c r="F458" t="n">
        <x:v>0</x:v>
      </x:c>
      <x:c r="G458" t="str">
        <x:v>Within Project</x:v>
      </x:c>
      <x:c r="H458" t="str">
        <x:v>Reconstructed from approved narrative/logic</x:v>
      </x:c>
    </x:row>
    <x:row r="459" ht="21" customHeight="1">
      <x:c r="A459" t="str">
        <x:v>R0470</x:v>
      </x:c>
      <x:c r="B459" t="str">
        <x:v>P12</x:v>
      </x:c>
      <x:c r="C459" t="str">
        <x:v>P12-Y1A1</x:v>
      </x:c>
      <x:c r="D459" t="str">
        <x:v>P12-MPLANY1</x:v>
      </x:c>
      <x:c r="E459" t="str">
        <x:v>FS</x:v>
      </x:c>
      <x:c r="F459" t="n">
        <x:v>0</x:v>
      </x:c>
      <x:c r="G459" t="str">
        <x:v>Within Project</x:v>
      </x:c>
      <x:c r="H459" t="str">
        <x:v>Reconstructed from approved narrative/logic</x:v>
      </x:c>
    </x:row>
    <x:row r="460" ht="21" customHeight="1">
      <x:c r="A460" t="str">
        <x:v>R0471</x:v>
      </x:c>
      <x:c r="B460" t="str">
        <x:v>P12</x:v>
      </x:c>
      <x:c r="C460" t="str">
        <x:v>P12-Y1A6</x:v>
      </x:c>
      <x:c r="D460" t="str">
        <x:v>P12-MY1DONE</x:v>
      </x:c>
      <x:c r="E460" t="str">
        <x:v>FS</x:v>
      </x:c>
      <x:c r="F460" t="n">
        <x:v>0</x:v>
      </x:c>
      <x:c r="G460" t="str">
        <x:v>Within Project</x:v>
      </x:c>
      <x:c r="H460" t="str">
        <x:v>Reconstructed from approved narrative/logic</x:v>
      </x:c>
    </x:row>
    <x:row r="461" ht="21" customHeight="1">
      <x:c r="A461" t="str">
        <x:v>R0472</x:v>
      </x:c>
      <x:c r="B461" t="str">
        <x:v>P12</x:v>
      </x:c>
      <x:c r="C461" t="str">
        <x:v>P12-Y1A8</x:v>
      </x:c>
      <x:c r="D461" t="str">
        <x:v>P12-Y2A1</x:v>
      </x:c>
      <x:c r="E461" t="str">
        <x:v>FS</x:v>
      </x:c>
      <x:c r="F461" t="n">
        <x:v>0</x:v>
      </x:c>
      <x:c r="G461" t="str">
        <x:v>Within Project</x:v>
      </x:c>
      <x:c r="H461" t="str">
        <x:v>Reconstructed from approved narrative/logic</x:v>
      </x:c>
    </x:row>
    <x:row r="462" ht="21" customHeight="1">
      <x:c r="A462" t="str">
        <x:v>R0473</x:v>
      </x:c>
      <x:c r="B462" t="str">
        <x:v>P12</x:v>
      </x:c>
      <x:c r="C462" t="str">
        <x:v>P12-Y2A1</x:v>
      </x:c>
      <x:c r="D462" t="str">
        <x:v>P12-Y2A2</x:v>
      </x:c>
      <x:c r="E462" t="str">
        <x:v>FS</x:v>
      </x:c>
      <x:c r="F462" t="n">
        <x:v>0</x:v>
      </x:c>
      <x:c r="G462" t="str">
        <x:v>Within Project</x:v>
      </x:c>
      <x:c r="H462" t="str">
        <x:v>Reconstructed from approved narrative/logic</x:v>
      </x:c>
    </x:row>
    <x:row r="463" ht="21" customHeight="1">
      <x:c r="A463" t="str">
        <x:v>R0474</x:v>
      </x:c>
      <x:c r="B463" t="str">
        <x:v>P12</x:v>
      </x:c>
      <x:c r="C463" t="str">
        <x:v>P12-Y2A2</x:v>
      </x:c>
      <x:c r="D463" t="str">
        <x:v>P12-Y2A3</x:v>
      </x:c>
      <x:c r="E463" t="str">
        <x:v>FS</x:v>
      </x:c>
      <x:c r="F463" t="n">
        <x:v>0</x:v>
      </x:c>
      <x:c r="G463" t="str">
        <x:v>Within Project</x:v>
      </x:c>
      <x:c r="H463" t="str">
        <x:v>Reconstructed from approved narrative/logic</x:v>
      </x:c>
    </x:row>
    <x:row r="464" ht="21" customHeight="1">
      <x:c r="A464" t="str">
        <x:v>R0475</x:v>
      </x:c>
      <x:c r="B464" t="str">
        <x:v>P12</x:v>
      </x:c>
      <x:c r="C464" t="str">
        <x:v>P12-Y2A3</x:v>
      </x:c>
      <x:c r="D464" t="str">
        <x:v>P12-Y2A4</x:v>
      </x:c>
      <x:c r="E464" t="str">
        <x:v>FS</x:v>
      </x:c>
      <x:c r="F464" t="n">
        <x:v>0</x:v>
      </x:c>
      <x:c r="G464" t="str">
        <x:v>Within Project</x:v>
      </x:c>
      <x:c r="H464" t="str">
        <x:v>Reconstructed from approved narrative/logic</x:v>
      </x:c>
    </x:row>
    <x:row r="465" ht="21" customHeight="1">
      <x:c r="A465" t="str">
        <x:v>R0476</x:v>
      </x:c>
      <x:c r="B465" t="str">
        <x:v>P12</x:v>
      </x:c>
      <x:c r="C465" t="str">
        <x:v>P12-Y2A4</x:v>
      </x:c>
      <x:c r="D465" t="str">
        <x:v>P12-Y2A5</x:v>
      </x:c>
      <x:c r="E465" t="str">
        <x:v>FS</x:v>
      </x:c>
      <x:c r="F465" t="n">
        <x:v>0</x:v>
      </x:c>
      <x:c r="G465" t="str">
        <x:v>Within Project</x:v>
      </x:c>
      <x:c r="H465" t="str">
        <x:v>Reconstructed from approved narrative/logic</x:v>
      </x:c>
    </x:row>
    <x:row r="466" ht="21" customHeight="1">
      <x:c r="A466" t="str">
        <x:v>R0477</x:v>
      </x:c>
      <x:c r="B466" t="str">
        <x:v>P12</x:v>
      </x:c>
      <x:c r="C466" t="str">
        <x:v>P12-Y2A5</x:v>
      </x:c>
      <x:c r="D466" t="str">
        <x:v>P12-Y2A6</x:v>
      </x:c>
      <x:c r="E466" t="str">
        <x:v>FS</x:v>
      </x:c>
      <x:c r="F466" t="n">
        <x:v>0</x:v>
      </x:c>
      <x:c r="G466" t="str">
        <x:v>Within Project</x:v>
      </x:c>
      <x:c r="H466" t="str">
        <x:v>Reconstructed from approved narrative/logic</x:v>
      </x:c>
    </x:row>
    <x:row r="467" ht="21" customHeight="1">
      <x:c r="A467" t="str">
        <x:v>R0478</x:v>
      </x:c>
      <x:c r="B467" t="str">
        <x:v>P12</x:v>
      </x:c>
      <x:c r="C467" t="str">
        <x:v>P12-Y2A6</x:v>
      </x:c>
      <x:c r="D467" t="str">
        <x:v>P12-Y2A7</x:v>
      </x:c>
      <x:c r="E467" t="str">
        <x:v>FS</x:v>
      </x:c>
      <x:c r="F467" t="n">
        <x:v>0</x:v>
      </x:c>
      <x:c r="G467" t="str">
        <x:v>Within Project</x:v>
      </x:c>
      <x:c r="H467" t="str">
        <x:v>Reconstructed from approved narrative/logic</x:v>
      </x:c>
    </x:row>
    <x:row r="468" ht="21" customHeight="1">
      <x:c r="A468" t="str">
        <x:v>R0479</x:v>
      </x:c>
      <x:c r="B468" t="str">
        <x:v>P12</x:v>
      </x:c>
      <x:c r="C468" t="str">
        <x:v>P12-Y2A7</x:v>
      </x:c>
      <x:c r="D468" t="str">
        <x:v>P12-Y2A8</x:v>
      </x:c>
      <x:c r="E468" t="str">
        <x:v>FS</x:v>
      </x:c>
      <x:c r="F468" t="n">
        <x:v>0</x:v>
      </x:c>
      <x:c r="G468" t="str">
        <x:v>Within Project</x:v>
      </x:c>
      <x:c r="H468" t="str">
        <x:v>Reconstructed from approved narrative/logic</x:v>
      </x:c>
    </x:row>
    <x:row r="469" ht="21" customHeight="1">
      <x:c r="A469" t="str">
        <x:v>R0480</x:v>
      </x:c>
      <x:c r="B469" t="str">
        <x:v>P12</x:v>
      </x:c>
      <x:c r="C469" t="str">
        <x:v>P12-Y2A1</x:v>
      </x:c>
      <x:c r="D469" t="str">
        <x:v>P12-MPLANY2</x:v>
      </x:c>
      <x:c r="E469" t="str">
        <x:v>FS</x:v>
      </x:c>
      <x:c r="F469" t="n">
        <x:v>0</x:v>
      </x:c>
      <x:c r="G469" t="str">
        <x:v>Within Project</x:v>
      </x:c>
      <x:c r="H469" t="str">
        <x:v>Reconstructed from approved narrative/logic</x:v>
      </x:c>
    </x:row>
    <x:row r="470" ht="21" customHeight="1">
      <x:c r="A470" t="str">
        <x:v>R0481</x:v>
      </x:c>
      <x:c r="B470" t="str">
        <x:v>P12</x:v>
      </x:c>
      <x:c r="C470" t="str">
        <x:v>P12-Y2A6</x:v>
      </x:c>
      <x:c r="D470" t="str">
        <x:v>P12-MY2DONE</x:v>
      </x:c>
      <x:c r="E470" t="str">
        <x:v>FS</x:v>
      </x:c>
      <x:c r="F470" t="n">
        <x:v>0</x:v>
      </x:c>
      <x:c r="G470" t="str">
        <x:v>Within Project</x:v>
      </x:c>
      <x:c r="H470" t="str">
        <x:v>Reconstructed from approved narrative/logic</x:v>
      </x:c>
    </x:row>
    <x:row r="471" ht="21" customHeight="1">
      <x:c r="A471" t="str">
        <x:v>R0482</x:v>
      </x:c>
      <x:c r="B471" t="str">
        <x:v>P12</x:v>
      </x:c>
      <x:c r="C471" t="str">
        <x:v>P12-Y2A8</x:v>
      </x:c>
      <x:c r="D471" t="str">
        <x:v>P12-Y3A1</x:v>
      </x:c>
      <x:c r="E471" t="str">
        <x:v>FS</x:v>
      </x:c>
      <x:c r="F471" t="n">
        <x:v>0</x:v>
      </x:c>
      <x:c r="G471" t="str">
        <x:v>Within Project</x:v>
      </x:c>
      <x:c r="H471" t="str">
        <x:v>Reconstructed from approved narrative/logic</x:v>
      </x:c>
    </x:row>
    <x:row r="472" ht="21" customHeight="1">
      <x:c r="A472" t="str">
        <x:v>R0483</x:v>
      </x:c>
      <x:c r="B472" t="str">
        <x:v>P12</x:v>
      </x:c>
      <x:c r="C472" t="str">
        <x:v>P12-Y3A1</x:v>
      </x:c>
      <x:c r="D472" t="str">
        <x:v>P12-Y3A2</x:v>
      </x:c>
      <x:c r="E472" t="str">
        <x:v>FS</x:v>
      </x:c>
      <x:c r="F472" t="n">
        <x:v>0</x:v>
      </x:c>
      <x:c r="G472" t="str">
        <x:v>Within Project</x:v>
      </x:c>
      <x:c r="H472" t="str">
        <x:v>Reconstructed from approved narrative/logic</x:v>
      </x:c>
    </x:row>
    <x:row r="473" ht="21" customHeight="1">
      <x:c r="A473" t="str">
        <x:v>R0484</x:v>
      </x:c>
      <x:c r="B473" t="str">
        <x:v>P12</x:v>
      </x:c>
      <x:c r="C473" t="str">
        <x:v>P12-Y3A2</x:v>
      </x:c>
      <x:c r="D473" t="str">
        <x:v>P12-Y3A3</x:v>
      </x:c>
      <x:c r="E473" t="str">
        <x:v>FS</x:v>
      </x:c>
      <x:c r="F473" t="n">
        <x:v>0</x:v>
      </x:c>
      <x:c r="G473" t="str">
        <x:v>Within Project</x:v>
      </x:c>
      <x:c r="H473" t="str">
        <x:v>Reconstructed from approved narrative/logic</x:v>
      </x:c>
    </x:row>
    <x:row r="474" ht="21" customHeight="1">
      <x:c r="A474" t="str">
        <x:v>R0485</x:v>
      </x:c>
      <x:c r="B474" t="str">
        <x:v>P12</x:v>
      </x:c>
      <x:c r="C474" t="str">
        <x:v>P12-Y3A3</x:v>
      </x:c>
      <x:c r="D474" t="str">
        <x:v>P12-Y3A4</x:v>
      </x:c>
      <x:c r="E474" t="str">
        <x:v>FS</x:v>
      </x:c>
      <x:c r="F474" t="n">
        <x:v>0</x:v>
      </x:c>
      <x:c r="G474" t="str">
        <x:v>Within Project</x:v>
      </x:c>
      <x:c r="H474" t="str">
        <x:v>Reconstructed from approved narrative/logic</x:v>
      </x:c>
    </x:row>
    <x:row r="475" ht="21" customHeight="1">
      <x:c r="A475" t="str">
        <x:v>R0486</x:v>
      </x:c>
      <x:c r="B475" t="str">
        <x:v>P12</x:v>
      </x:c>
      <x:c r="C475" t="str">
        <x:v>P12-Y3A4</x:v>
      </x:c>
      <x:c r="D475" t="str">
        <x:v>P12-Y3A5</x:v>
      </x:c>
      <x:c r="E475" t="str">
        <x:v>FS</x:v>
      </x:c>
      <x:c r="F475" t="n">
        <x:v>0</x:v>
      </x:c>
      <x:c r="G475" t="str">
        <x:v>Within Project</x:v>
      </x:c>
      <x:c r="H475" t="str">
        <x:v>Reconstructed from approved narrative/logic</x:v>
      </x:c>
    </x:row>
    <x:row r="476" ht="21" customHeight="1">
      <x:c r="A476" t="str">
        <x:v>R0487</x:v>
      </x:c>
      <x:c r="B476" t="str">
        <x:v>P12</x:v>
      </x:c>
      <x:c r="C476" t="str">
        <x:v>P12-Y3A5</x:v>
      </x:c>
      <x:c r="D476" t="str">
        <x:v>P12-Y3A6</x:v>
      </x:c>
      <x:c r="E476" t="str">
        <x:v>FS</x:v>
      </x:c>
      <x:c r="F476" t="n">
        <x:v>0</x:v>
      </x:c>
      <x:c r="G476" t="str">
        <x:v>Within Project</x:v>
      </x:c>
      <x:c r="H476" t="str">
        <x:v>Reconstructed from approved narrative/logic</x:v>
      </x:c>
    </x:row>
    <x:row r="477" ht="21" customHeight="1">
      <x:c r="A477" t="str">
        <x:v>R0488</x:v>
      </x:c>
      <x:c r="B477" t="str">
        <x:v>P12</x:v>
      </x:c>
      <x:c r="C477" t="str">
        <x:v>P12-Y3A6</x:v>
      </x:c>
      <x:c r="D477" t="str">
        <x:v>P12-Y3A7</x:v>
      </x:c>
      <x:c r="E477" t="str">
        <x:v>FS</x:v>
      </x:c>
      <x:c r="F477" t="n">
        <x:v>0</x:v>
      </x:c>
      <x:c r="G477" t="str">
        <x:v>Within Project</x:v>
      </x:c>
      <x:c r="H477" t="str">
        <x:v>Reconstructed from approved narrative/logic</x:v>
      </x:c>
    </x:row>
    <x:row r="478" ht="21" customHeight="1">
      <x:c r="A478" t="str">
        <x:v>R0489</x:v>
      </x:c>
      <x:c r="B478" t="str">
        <x:v>P12</x:v>
      </x:c>
      <x:c r="C478" t="str">
        <x:v>P12-Y3A7</x:v>
      </x:c>
      <x:c r="D478" t="str">
        <x:v>P12-Y3A8</x:v>
      </x:c>
      <x:c r="E478" t="str">
        <x:v>FS</x:v>
      </x:c>
      <x:c r="F478" t="n">
        <x:v>0</x:v>
      </x:c>
      <x:c r="G478" t="str">
        <x:v>Within Project</x:v>
      </x:c>
      <x:c r="H478" t="str">
        <x:v>Reconstructed from approved narrative/logic</x:v>
      </x:c>
    </x:row>
    <x:row r="479" ht="21" customHeight="1">
      <x:c r="A479" t="str">
        <x:v>R0490</x:v>
      </x:c>
      <x:c r="B479" t="str">
        <x:v>P12</x:v>
      </x:c>
      <x:c r="C479" t="str">
        <x:v>P12-Y3A1</x:v>
      </x:c>
      <x:c r="D479" t="str">
        <x:v>P12-MPLANY3</x:v>
      </x:c>
      <x:c r="E479" t="str">
        <x:v>FS</x:v>
      </x:c>
      <x:c r="F479" t="n">
        <x:v>0</x:v>
      </x:c>
      <x:c r="G479" t="str">
        <x:v>Within Project</x:v>
      </x:c>
      <x:c r="H479" t="str">
        <x:v>Reconstructed from approved narrative/logic</x:v>
      </x:c>
    </x:row>
    <x:row r="480" ht="21" customHeight="1">
      <x:c r="A480" t="str">
        <x:v>R0491</x:v>
      </x:c>
      <x:c r="B480" t="str">
        <x:v>P12</x:v>
      </x:c>
      <x:c r="C480" t="str">
        <x:v>P12-Y3A6</x:v>
      </x:c>
      <x:c r="D480" t="str">
        <x:v>P12-MY3DONE</x:v>
      </x:c>
      <x:c r="E480" t="str">
        <x:v>FS</x:v>
      </x:c>
      <x:c r="F480" t="n">
        <x:v>0</x:v>
      </x:c>
      <x:c r="G480" t="str">
        <x:v>Within Project</x:v>
      </x:c>
      <x:c r="H480" t="str">
        <x:v>Reconstructed from approved narrative/logic</x:v>
      </x:c>
    </x:row>
    <x:row r="481" ht="21" customHeight="1">
      <x:c r="A481" t="str">
        <x:v>R0492</x:v>
      </x:c>
      <x:c r="B481" t="str">
        <x:v>P12</x:v>
      </x:c>
      <x:c r="C481" t="str">
        <x:v>P12-Y3A8</x:v>
      </x:c>
      <x:c r="D481" t="str">
        <x:v>P12-MPROGCLOSE</x:v>
      </x:c>
      <x:c r="E481" t="str">
        <x:v>FS</x:v>
      </x:c>
      <x:c r="F481" t="n">
        <x:v>0</x:v>
      </x:c>
      <x:c r="G481" t="str">
        <x:v>Within Project</x:v>
      </x:c>
      <x:c r="H481" t="str">
        <x:v>Reconstructed from approved narrative/logic</x:v>
      </x:c>
    </x:row>
    <x:row r="482" ht="21" customHeight="1">
      <x:c r="A482" t="str">
        <x:v>R0493</x:v>
      </x:c>
      <x:c r="B482" t="str">
        <x:v>P01</x:v>
      </x:c>
      <x:c r="C482" t="str">
        <x:v>P01-A4</x:v>
      </x:c>
      <x:c r="D482" t="str">
        <x:v>P01-M1</x:v>
      </x:c>
      <x:c r="E482" t="str">
        <x:v>FS</x:v>
      </x:c>
      <x:c r="F482" t="n">
        <x:v>0</x:v>
      </x:c>
      <x:c r="G482" t="str">
        <x:v>Within Project</x:v>
      </x:c>
      <x:c r="H482" t="str">
        <x:v>Reconstructed from approved narrative/logic</x:v>
      </x:c>
    </x:row>
    <x:row r="483" ht="21" customHeight="1">
      <x:c r="A483" t="str">
        <x:v>R0494</x:v>
      </x:c>
      <x:c r="B483" t="str">
        <x:v>P01</x:v>
      </x:c>
      <x:c r="C483" t="str">
        <x:v>P01-A5b</x:v>
      </x:c>
      <x:c r="D483" t="str">
        <x:v>P01-M2</x:v>
      </x:c>
      <x:c r="E483" t="str">
        <x:v>FS</x:v>
      </x:c>
      <x:c r="F483" t="n">
        <x:v>10</x:v>
      </x:c>
      <x:c r="G483" t="str">
        <x:v>Within Project</x:v>
      </x:c>
      <x:c r="H483" t="str">
        <x:v>Reconstructed from approved narrative/logic</x:v>
      </x:c>
    </x:row>
    <x:row r="484" ht="21" customHeight="1">
      <x:c r="A484" t="str">
        <x:v>R0495</x:v>
      </x:c>
      <x:c r="B484" t="str">
        <x:v>P01</x:v>
      </x:c>
      <x:c r="C484" t="str">
        <x:v>P01-A4b</x:v>
      </x:c>
      <x:c r="D484" t="str">
        <x:v>P01-M2</x:v>
      </x:c>
      <x:c r="E484" t="str">
        <x:v>FS</x:v>
      </x:c>
      <x:c r="F484" t="n">
        <x:v>0</x:v>
      </x:c>
      <x:c r="G484" t="str">
        <x:v>Within Project</x:v>
      </x:c>
      <x:c r="H484" t="str">
        <x:v>Reconstructed from approved narrative/logic</x:v>
      </x:c>
    </x:row>
    <x:row r="485" ht="21" customHeight="1">
      <x:c r="A485" t="str">
        <x:v>R0496</x:v>
      </x:c>
      <x:c r="B485" t="str">
        <x:v>P01</x:v>
      </x:c>
      <x:c r="C485" t="str">
        <x:v>P01-A15</x:v>
      </x:c>
      <x:c r="D485" t="str">
        <x:v>P01-M3</x:v>
      </x:c>
      <x:c r="E485" t="str">
        <x:v>FS</x:v>
      </x:c>
      <x:c r="F485" t="n">
        <x:v>0</x:v>
      </x:c>
      <x:c r="G485" t="str">
        <x:v>Within Project</x:v>
      </x:c>
      <x:c r="H485" t="str">
        <x:v>Reconstructed from approved narrative/logic</x:v>
      </x:c>
    </x:row>
    <x:row r="486" ht="21" customHeight="1">
      <x:c r="A486" t="str">
        <x:v>R0497</x:v>
      </x:c>
      <x:c r="B486" t="str">
        <x:v>P02</x:v>
      </x:c>
      <x:c r="C486" t="str">
        <x:v>P02-A4</x:v>
      </x:c>
      <x:c r="D486" t="str">
        <x:v>P02-M1</x:v>
      </x:c>
      <x:c r="E486" t="str">
        <x:v>FS</x:v>
      </x:c>
      <x:c r="F486" t="n">
        <x:v>0</x:v>
      </x:c>
      <x:c r="G486" t="str">
        <x:v>Within Project</x:v>
      </x:c>
      <x:c r="H486" t="str">
        <x:v>Reconstructed from approved narrative/logic</x:v>
      </x:c>
    </x:row>
    <x:row r="487" ht="21" customHeight="1">
      <x:c r="A487" t="str">
        <x:v>R0498</x:v>
      </x:c>
      <x:c r="B487" t="str">
        <x:v>P02</x:v>
      </x:c>
      <x:c r="C487" t="str">
        <x:v>P02-A5b</x:v>
      </x:c>
      <x:c r="D487" t="str">
        <x:v>P02-M2</x:v>
      </x:c>
      <x:c r="E487" t="str">
        <x:v>FS</x:v>
      </x:c>
      <x:c r="F487" t="n">
        <x:v>10</x:v>
      </x:c>
      <x:c r="G487" t="str">
        <x:v>Within Project</x:v>
      </x:c>
      <x:c r="H487" t="str">
        <x:v>Reconstructed from approved narrative/logic</x:v>
      </x:c>
    </x:row>
    <x:row r="488" ht="21" customHeight="1">
      <x:c r="A488" t="str">
        <x:v>R0499</x:v>
      </x:c>
      <x:c r="B488" t="str">
        <x:v>P02</x:v>
      </x:c>
      <x:c r="C488" t="str">
        <x:v>P02-A4b</x:v>
      </x:c>
      <x:c r="D488" t="str">
        <x:v>P02-M2</x:v>
      </x:c>
      <x:c r="E488" t="str">
        <x:v>FS</x:v>
      </x:c>
      <x:c r="F488" t="n">
        <x:v>0</x:v>
      </x:c>
      <x:c r="G488" t="str">
        <x:v>Within Project</x:v>
      </x:c>
      <x:c r="H488" t="str">
        <x:v>Reconstructed from approved narrative/logic</x:v>
      </x:c>
    </x:row>
    <x:row r="489" ht="21" customHeight="1">
      <x:c r="A489" t="str">
        <x:v>R0500</x:v>
      </x:c>
      <x:c r="B489" t="str">
        <x:v>P02</x:v>
      </x:c>
      <x:c r="C489" t="str">
        <x:v>P02-A8</x:v>
      </x:c>
      <x:c r="D489" t="str">
        <x:v>P02-M3</x:v>
      </x:c>
      <x:c r="E489" t="str">
        <x:v>FS</x:v>
      </x:c>
      <x:c r="F489" t="n">
        <x:v>0</x:v>
      </x:c>
      <x:c r="G489" t="str">
        <x:v>Within Project</x:v>
      </x:c>
      <x:c r="H489" t="str">
        <x:v>Reconstructed from approved narrative/logic</x:v>
      </x:c>
    </x:row>
    <x:row r="490" ht="21" customHeight="1">
      <x:c r="A490" t="str">
        <x:v>R0501</x:v>
      </x:c>
      <x:c r="B490" t="str">
        <x:v>P02</x:v>
      </x:c>
      <x:c r="C490" t="str">
        <x:v>P02-A15b</x:v>
      </x:c>
      <x:c r="D490" t="str">
        <x:v>P02-M4</x:v>
      </x:c>
      <x:c r="E490" t="str">
        <x:v>FS</x:v>
      </x:c>
      <x:c r="F490" t="n">
        <x:v>0</x:v>
      </x:c>
      <x:c r="G490" t="str">
        <x:v>Within Project</x:v>
      </x:c>
      <x:c r="H490" t="str">
        <x:v>Reconstructed from approved narrative/logic</x:v>
      </x:c>
    </x:row>
    <x:row r="491" ht="21" customHeight="1">
      <x:c r="A491" t="str">
        <x:v>R0502</x:v>
      </x:c>
      <x:c r="B491" t="str">
        <x:v>P06</x:v>
      </x:c>
      <x:c r="C491" t="str">
        <x:v>P06-MSYSINT</x:v>
      </x:c>
      <x:c r="D491" t="str">
        <x:v>P06-MPILOTREADY</x:v>
      </x:c>
      <x:c r="E491" t="str">
        <x:v>FS</x:v>
      </x:c>
      <x:c r="F491" t="n">
        <x:v>0</x:v>
      </x:c>
      <x:c r="G491" t="str">
        <x:v>Within Project</x:v>
      </x:c>
      <x:c r="H491" t="str">
        <x:v>Reconstructed from approved narrative/logic</x:v>
      </x:c>
    </x:row>
    <x:row r="492" ht="21" customHeight="1">
      <x:c r="A492" t="str">
        <x:v>R0503</x:v>
      </x:c>
      <x:c r="B492" t="str">
        <x:v>P06</x:v>
      </x:c>
      <x:c r="C492" t="str">
        <x:v>P06-A15</x:v>
      </x:c>
      <x:c r="D492" t="str">
        <x:v>P06-MPILOTREADY</x:v>
      </x:c>
      <x:c r="E492" t="str">
        <x:v>FS</x:v>
      </x:c>
      <x:c r="F492" t="n">
        <x:v>0</x:v>
      </x:c>
      <x:c r="G492" t="str">
        <x:v>Within Project</x:v>
      </x:c>
      <x:c r="H492" t="str">
        <x:v>Reconstructed from approved narrative/logic</x:v>
      </x:c>
    </x:row>
    <x:row r="493" ht="21" customHeight="1">
      <x:c r="A493" t="str">
        <x:v>R0504</x:v>
      </x:c>
      <x:c r="B493" t="str">
        <x:v>P06</x:v>
      </x:c>
      <x:c r="C493" t="str">
        <x:v>P06-APILOTSTAGE</x:v>
      </x:c>
      <x:c r="D493" t="str">
        <x:v>P06-MPILOTREADY</x:v>
      </x:c>
      <x:c r="E493" t="str">
        <x:v>FS</x:v>
      </x:c>
      <x:c r="F493" t="n">
        <x:v>0</x:v>
      </x:c>
      <x:c r="G493" t="str">
        <x:v>Within Project</x:v>
      </x:c>
      <x:c r="H493" t="str">
        <x:v>Reconstructed from approved narrative/logic</x:v>
      </x:c>
    </x:row>
    <x:row r="494" ht="21" customHeight="1">
      <x:c r="A494" t="str">
        <x:v>R0505</x:v>
      </x:c>
      <x:c r="B494" t="str">
        <x:v>P06</x:v>
      </x:c>
      <x:c r="C494" t="str">
        <x:v>P06-A8</x:v>
      </x:c>
      <x:c r="D494" t="str">
        <x:v>P06-MPILOTREADY</x:v>
      </x:c>
      <x:c r="E494" t="str">
        <x:v>FS</x:v>
      </x:c>
      <x:c r="F494" t="n">
        <x:v>0</x:v>
      </x:c>
      <x:c r="G494" t="str">
        <x:v>Within Project</x:v>
      </x:c>
      <x:c r="H494" t="str">
        <x:v>Reconstructed from approved narrative/logic</x:v>
      </x:c>
    </x:row>
    <x:row r="495" ht="21" customHeight="1">
      <x:c r="A495" t="str">
        <x:v>R0506</x:v>
      </x:c>
      <x:c r="B495" t="str">
        <x:v>P06</x:v>
      </x:c>
      <x:c r="C495" t="str">
        <x:v>P06-A6</x:v>
      </x:c>
      <x:c r="D495" t="str">
        <x:v>P06-MPILOTREADY</x:v>
      </x:c>
      <x:c r="E495" t="str">
        <x:v>FS</x:v>
      </x:c>
      <x:c r="F495" t="n">
        <x:v>0</x:v>
      </x:c>
      <x:c r="G495" t="str">
        <x:v>Within Project</x:v>
      </x:c>
      <x:c r="H495" t="str">
        <x:v>Reconstructed from approved narrative/logic</x:v>
      </x:c>
    </x:row>
    <x:row r="496" ht="21" customHeight="1">
      <x:c r="A496" t="str">
        <x:v>R0507</x:v>
      </x:c>
      <x:c r="B496" t="str">
        <x:v>P06</x:v>
      </x:c>
      <x:c r="C496" t="str">
        <x:v>P06-MPILOTREADY</x:v>
      </x:c>
      <x:c r="D496" t="str">
        <x:v>P06-A16</x:v>
      </x:c>
      <x:c r="E496" t="str">
        <x:v>FS</x:v>
      </x:c>
      <x:c r="F496" t="n">
        <x:v>0</x:v>
      </x:c>
      <x:c r="G496" t="str">
        <x:v>Within Project</x:v>
      </x:c>
      <x:c r="H496" t="str">
        <x:v>BLOCKED: documented relationship incompatible with existing reconstructed date(s); see QA report</x:v>
      </x:c>
    </x:row>
    <x:row r="497" ht="21" customHeight="1">
      <x:c r="A497" t="str">
        <x:v>R0508</x:v>
      </x:c>
      <x:c r="B497" t="str">
        <x:v>P06</x:v>
      </x:c>
      <x:c r="C497" t="str">
        <x:v>P06-AFIRSTPILOT</x:v>
      </x:c>
      <x:c r="D497" t="str">
        <x:v>P06-MFIRSTPILOT</x:v>
      </x:c>
      <x:c r="E497" t="str">
        <x:v>FS</x:v>
      </x:c>
      <x:c r="F497" t="n">
        <x:v>0</x:v>
      </x:c>
      <x:c r="G497" t="str">
        <x:v>Within Project</x:v>
      </x:c>
      <x:c r="H497" t="str">
        <x:v>Reconstructed from approved narrative/logic</x:v>
      </x:c>
    </x:row>
    <x:row r="498" ht="21" customHeight="1">
      <x:c r="A498" t="str">
        <x:v>R0509</x:v>
      </x:c>
      <x:c r="B498" t="str">
        <x:v>P01</x:v>
      </x:c>
      <x:c r="C498" t="str">
        <x:v>P01-M2</x:v>
      </x:c>
      <x:c r="D498" t="str">
        <x:v>P01-A6</x:v>
      </x:c>
      <x:c r="E498" t="str">
        <x:v>FS</x:v>
      </x:c>
      <x:c r="F498" t="n">
        <x:v>0</x:v>
      </x:c>
      <x:c r="G498" t="str">
        <x:v>Within Project</x:v>
      </x:c>
      <x:c r="H498" t="str">
        <x:v>PROPOSED synthetic recovery: Contractor mobilization/submittals cannot begin before award/NTP; procurement and mobilization run in parallel.</x:v>
      </x:c>
    </x:row>
    <x:row r="499" ht="21" customHeight="1">
      <x:c r="A499" t="str">
        <x:v>R0510</x:v>
      </x:c>
      <x:c r="B499" t="str">
        <x:v>P01</x:v>
      </x:c>
      <x:c r="C499" t="str">
        <x:v>P01-M2</x:v>
      </x:c>
      <x:c r="D499" t="str">
        <x:v>P01-A7a</x:v>
      </x:c>
      <x:c r="E499" t="str">
        <x:v>FS</x:v>
      </x:c>
      <x:c r="F499" t="n">
        <x:v>0</x:v>
      </x:c>
      <x:c r="G499" t="str">
        <x:v>Within Project</x:v>
      </x:c>
      <x:c r="H499" t="str">
        <x:v>PROPOSED synthetic recovery: Contractor mobilization/submittals cannot begin before award/NTP; procurement and mobilization run in parallel.</x:v>
      </x:c>
    </x:row>
    <x:row r="500" ht="21" customHeight="1">
      <x:c r="A500" t="str">
        <x:v>R0511</x:v>
      </x:c>
      <x:c r="B500" t="str">
        <x:v>P02</x:v>
      </x:c>
      <x:c r="C500" t="str">
        <x:v>P02-M2</x:v>
      </x:c>
      <x:c r="D500" t="str">
        <x:v>P02-A6</x:v>
      </x:c>
      <x:c r="E500" t="str">
        <x:v>FS</x:v>
      </x:c>
      <x:c r="F500" t="n">
        <x:v>0</x:v>
      </x:c>
      <x:c r="G500" t="str">
        <x:v>Within Project</x:v>
      </x:c>
      <x:c r="H500" t="str">
        <x:v>PROPOSED synthetic recovery: Contractor mobilization/submittals cannot begin before award/NTP; procurement and mobilization run in parallel.</x:v>
      </x:c>
    </x:row>
    <x:row r="501" ht="21" customHeight="1">
      <x:c r="A501" t="str">
        <x:v>R0512</x:v>
      </x:c>
      <x:c r="B501" t="str">
        <x:v>P02</x:v>
      </x:c>
      <x:c r="C501" t="str">
        <x:v>P02-M2</x:v>
      </x:c>
      <x:c r="D501" t="str">
        <x:v>P02-A7a</x:v>
      </x:c>
      <x:c r="E501" t="str">
        <x:v>FS</x:v>
      </x:c>
      <x:c r="F501" t="n">
        <x:v>0</x:v>
      </x:c>
      <x:c r="G501" t="str">
        <x:v>Within Project</x:v>
      </x:c>
      <x:c r="H501" t="str">
        <x:v>PROPOSED synthetic recovery: Contractor mobilization/submittals cannot begin before award/NTP; procurement and mobilization run in parallel.</x:v>
      </x:c>
    </x:row>
    <x:row r="502" ht="21" customHeight="1">
      <x:c r="A502" t="str">
        <x:v>R0513</x:v>
      </x:c>
      <x:c r="B502" t="str">
        <x:v>P02</x:v>
      </x:c>
      <x:c r="C502" t="str">
        <x:v>P02-M2</x:v>
      </x:c>
      <x:c r="D502" t="str">
        <x:v>P02-A11a</x:v>
      </x:c>
      <x:c r="E502" t="str">
        <x:v>FS</x:v>
      </x:c>
      <x:c r="F502" t="n">
        <x:v>0</x:v>
      </x:c>
      <x:c r="G502" t="str">
        <x:v>Within Project</x:v>
      </x:c>
      <x:c r="H502" t="str">
        <x:v>PROPOSED synthetic recovery: Contractor mobilization/submittals cannot begin before award/NTP; procurement and mobilization run in parallel.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9" hidden="0" customWidth="1"/>
    <x:col min="3" max="3" width="20" hidden="0" customWidth="1"/>
    <x:col min="4" max="4" width="55" hidden="0" customWidth="1"/>
    <x:col min="5" max="5" width="17" hidden="0" customWidth="1"/>
    <x:col min="6" max="6" width="17" hidden="0" customWidth="1"/>
    <x:col min="7" max="7" width="22" hidden="0" customWidth="1"/>
    <x:col min="8" max="8" width="63" hidden="0" customWidth="1"/>
  </x:cols>
  <x:sheetData>
    <x:row r="1">
      <x:c r="A1" t="str">
        <x:v>HWSD — Schedule Version &amp; Approval History</x:v>
      </x:c>
    </x:row>
    <x:row r="2">
      <x:c r="A2" t="str">
        <x:v>Previous approved coordination dates are retained; synthetic recovery authorized by user. P12 standing-work scope is excluded from ordinary substantial-completion comparisons.</x:v>
      </x:c>
    </x:row>
    <x:row r="4" ht="35" customHeight="1">
      <x:c r="A4" s="48" t="str">
        <x:v>Project_ID</x:v>
      </x:c>
      <x:c r="B4" s="48" t="str">
        <x:v>Version</x:v>
      </x:c>
      <x:c r="C4" s="48" t="str">
        <x:v>Status</x:v>
      </x:c>
      <x:c r="D4" s="48" t="str">
        <x:v>Version_Basis</x:v>
      </x:c>
      <x:c r="E4" s="48" t="str">
        <x:v>Start</x:v>
      </x:c>
      <x:c r="F4" s="48" t="str">
        <x:v>Finish</x:v>
      </x:c>
      <x:c r="G4" s="48" t="str">
        <x:v>Change_Calendar_Days</x:v>
      </x:c>
      <x:c r="H4" s="48" t="str">
        <x:v>Approval_Note</x:v>
      </x:c>
    </x:row>
    <x:row r="5" ht="21" customHeight="1">
      <x:c r="A5" t="str">
        <x:v>P01</x:v>
      </x:c>
      <x:c r="B5" t="str">
        <x:v>Prior coordinated baseline</x:v>
      </x:c>
      <x:c r="C5" t="str">
        <x:v>SUPERSEDED</x:v>
      </x:c>
      <x:c r="D5" t="str">
        <x:v>Original approved coordinated scheduling version</x:v>
      </x:c>
      <x:c r="E5" s="54" t="n">
        <x:v>45659</x:v>
      </x:c>
      <x:c r="F5" s="54" t="n">
        <x:v>46027</x:v>
      </x:c>
      <x:c r="G5" t="n">
        <x:v>0</x:v>
      </x:c>
      <x:c r="H5" t="str">
        <x:v>Historical date comparator; no baseline overwrite</x:v>
      </x:c>
    </x:row>
    <x:row r="6" ht="21" customHeight="1">
      <x:c r="A6" t="str">
        <x:v>P01</x:v>
      </x:c>
      <x:c r="B6" t="str">
        <x:v>Synthetic recovery baseline</x:v>
      </x:c>
      <x:c r="C6" t="str">
        <x:v>APPROVED</x:v>
      </x:c>
      <x:c r="D6" t="str">
        <x:v>Reconstructed network with accepted documented assumptions</x:v>
      </x:c>
      <x:c r="E6" s="54" t="n">
        <x:v>45659</x:v>
      </x:c>
      <x:c r="F6" s="54" t="n">
        <x:v>46020</x:v>
      </x:c>
      <x:c r="G6" t="n">
        <x:v>-7</x:v>
      </x:c>
      <x:c r="H6" t="str">
        <x:v>User-approved synthetic baseline + release holds; CPM/float calculated, all approved finish dates retained</x:v>
      </x:c>
    </x:row>
    <x:row r="7" ht="21" customHeight="1">
      <x:c r="A7" t="str">
        <x:v>P02</x:v>
      </x:c>
      <x:c r="B7" t="str">
        <x:v>Prior coordinated baseline</x:v>
      </x:c>
      <x:c r="C7" t="str">
        <x:v>SUPERSEDED</x:v>
      </x:c>
      <x:c r="D7" t="str">
        <x:v>Original approved coordinated scheduling version</x:v>
      </x:c>
      <x:c r="E7" s="54" t="n">
        <x:v>45691</x:v>
      </x:c>
      <x:c r="F7" s="54" t="n">
        <x:v>46113</x:v>
      </x:c>
      <x:c r="G7" t="n">
        <x:v>0</x:v>
      </x:c>
      <x:c r="H7" t="str">
        <x:v>Historical date comparator; no baseline overwrite</x:v>
      </x:c>
    </x:row>
    <x:row r="8" ht="21" customHeight="1">
      <x:c r="A8" t="str">
        <x:v>P02</x:v>
      </x:c>
      <x:c r="B8" t="str">
        <x:v>Synthetic recovery baseline</x:v>
      </x:c>
      <x:c r="C8" t="str">
        <x:v>APPROVED</x:v>
      </x:c>
      <x:c r="D8" t="str">
        <x:v>Reconstructed network with accepted documented assumptions</x:v>
      </x:c>
      <x:c r="E8" s="54" t="n">
        <x:v>45691</x:v>
      </x:c>
      <x:c r="F8" s="54" t="n">
        <x:v>46078</x:v>
      </x:c>
      <x:c r="G8" t="n">
        <x:v>-35</x:v>
      </x:c>
      <x:c r="H8" t="str">
        <x:v>User-approved synthetic baseline + release holds; CPM/float calculated, all approved finish dates retained</x:v>
      </x:c>
    </x:row>
    <x:row r="9" ht="21" customHeight="1">
      <x:c r="A9" t="str">
        <x:v>P03</x:v>
      </x:c>
      <x:c r="B9" t="str">
        <x:v>Prior coordinated baseline</x:v>
      </x:c>
      <x:c r="C9" t="str">
        <x:v>SUPERSEDED</x:v>
      </x:c>
      <x:c r="D9" t="str">
        <x:v>Original approved coordinated scheduling version</x:v>
      </x:c>
      <x:c r="E9" s="54" t="n">
        <x:v>45659</x:v>
      </x:c>
      <x:c r="F9" s="54" t="n">
        <x:v>46435</x:v>
      </x:c>
      <x:c r="G9" t="n">
        <x:v>0</x:v>
      </x:c>
      <x:c r="H9" t="str">
        <x:v>Historical date comparator; no baseline overwrite</x:v>
      </x:c>
    </x:row>
    <x:row r="10" ht="21" customHeight="1">
      <x:c r="A10" t="str">
        <x:v>P03</x:v>
      </x:c>
      <x:c r="B10" t="str">
        <x:v>Synthetic recovery baseline</x:v>
      </x:c>
      <x:c r="C10" t="str">
        <x:v>APPROVED</x:v>
      </x:c>
      <x:c r="D10" t="str">
        <x:v>Reconstructed network with accepted documented assumptions</x:v>
      </x:c>
      <x:c r="E10" s="54" t="n">
        <x:v>45659</x:v>
      </x:c>
      <x:c r="F10" s="54" t="n">
        <x:v>46414</x:v>
      </x:c>
      <x:c r="G10" t="n">
        <x:v>-21</x:v>
      </x:c>
      <x:c r="H10" t="str">
        <x:v>User-approved synthetic baseline + release holds; CPM/float calculated, all approved finish dates retained</x:v>
      </x:c>
    </x:row>
    <x:row r="11" ht="21" customHeight="1">
      <x:c r="A11" t="str">
        <x:v>P04</x:v>
      </x:c>
      <x:c r="B11" t="str">
        <x:v>Prior coordinated baseline</x:v>
      </x:c>
      <x:c r="C11" t="str">
        <x:v>RETAINED</x:v>
      </x:c>
      <x:c r="D11" t="str">
        <x:v>Original approved coordinated scheduling version</x:v>
      </x:c>
      <x:c r="E11" s="54" t="n">
        <x:v>45810</x:v>
      </x:c>
      <x:c r="F11" s="54" t="n">
        <x:v>46136</x:v>
      </x:c>
      <x:c r="G11" t="n">
        <x:v>0</x:v>
      </x:c>
      <x:c r="H11" t="str">
        <x:v>Historical date comparator; no baseline overwrite</x:v>
      </x:c>
    </x:row>
    <x:row r="12" ht="21" customHeight="1">
      <x:c r="A12" t="str">
        <x:v>P04</x:v>
      </x:c>
      <x:c r="B12" t="str">
        <x:v>Synthetic recovery baseline</x:v>
      </x:c>
      <x:c r="C12" t="str">
        <x:v>APPROVED</x:v>
      </x:c>
      <x:c r="D12" t="str">
        <x:v>Unchanged reference network, carried forward</x:v>
      </x:c>
      <x:c r="E12" s="54" t="n">
        <x:v>45810</x:v>
      </x:c>
      <x:c r="F12" s="54" t="n">
        <x:v>46136</x:v>
      </x:c>
      <x:c r="G12" t="n">
        <x:v>0</x:v>
      </x:c>
      <x:c r="H12" t="str">
        <x:v>Reference project dates unchanged; CPM/float calculated. P12 is standing work.</x:v>
      </x:c>
    </x:row>
    <x:row r="13" ht="21" customHeight="1">
      <x:c r="A13" t="str">
        <x:v>P05</x:v>
      </x:c>
      <x:c r="B13" t="str">
        <x:v>Prior coordinated baseline</x:v>
      </x:c>
      <x:c r="C13" t="str">
        <x:v>RETAINED</x:v>
      </x:c>
      <x:c r="D13" t="str">
        <x:v>Original approved coordinated scheduling version</x:v>
      </x:c>
      <x:c r="E13" s="54" t="n">
        <x:v>45719</x:v>
      </x:c>
      <x:c r="F13" s="54" t="n">
        <x:v>46157</x:v>
      </x:c>
      <x:c r="G13" t="n">
        <x:v>0</x:v>
      </x:c>
      <x:c r="H13" t="str">
        <x:v>Historical date comparator; no baseline overwrite</x:v>
      </x:c>
    </x:row>
    <x:row r="14" ht="21" customHeight="1">
      <x:c r="A14" t="str">
        <x:v>P05</x:v>
      </x:c>
      <x:c r="B14" t="str">
        <x:v>Synthetic recovery baseline</x:v>
      </x:c>
      <x:c r="C14" t="str">
        <x:v>APPROVED</x:v>
      </x:c>
      <x:c r="D14" t="str">
        <x:v>Unchanged reference network, carried forward</x:v>
      </x:c>
      <x:c r="E14" s="54" t="n">
        <x:v>45719</x:v>
      </x:c>
      <x:c r="F14" s="54" t="n">
        <x:v>46157</x:v>
      </x:c>
      <x:c r="G14" t="n">
        <x:v>0</x:v>
      </x:c>
      <x:c r="H14" t="str">
        <x:v>Reference project dates unchanged; CPM/float calculated. P12 is standing work.</x:v>
      </x:c>
    </x:row>
    <x:row r="15" ht="21" customHeight="1">
      <x:c r="A15" t="str">
        <x:v>P06</x:v>
      </x:c>
      <x:c r="B15" t="str">
        <x:v>Prior coordinated baseline</x:v>
      </x:c>
      <x:c r="C15" t="str">
        <x:v>SUPERSEDED</x:v>
      </x:c>
      <x:c r="D15" t="str">
        <x:v>Original approved coordinated scheduling version</x:v>
      </x:c>
      <x:c r="E15" s="54" t="n">
        <x:v>45870</x:v>
      </x:c>
      <x:c r="F15" s="54" t="n">
        <x:v>46394</x:v>
      </x:c>
      <x:c r="G15" t="n">
        <x:v>0</x:v>
      </x:c>
      <x:c r="H15" t="str">
        <x:v>Historical date comparator; no baseline overwrite</x:v>
      </x:c>
    </x:row>
    <x:row r="16" ht="21" customHeight="1">
      <x:c r="A16" t="str">
        <x:v>P06</x:v>
      </x:c>
      <x:c r="B16" t="str">
        <x:v>Synthetic recovery baseline</x:v>
      </x:c>
      <x:c r="C16" t="str">
        <x:v>APPROVED</x:v>
      </x:c>
      <x:c r="D16" t="str">
        <x:v>Reconstructed network with accepted documented assumptions</x:v>
      </x:c>
      <x:c r="E16" s="54" t="n">
        <x:v>45870</x:v>
      </x:c>
      <x:c r="F16" s="54" t="n">
        <x:v>46380</x:v>
      </x:c>
      <x:c r="G16" t="n">
        <x:v>-14</x:v>
      </x:c>
      <x:c r="H16" t="str">
        <x:v>User-approved synthetic baseline + release holds; CPM/float calculated, all approved finish dates retained</x:v>
      </x:c>
    </x:row>
    <x:row r="17" ht="21" customHeight="1">
      <x:c r="A17" t="str">
        <x:v>P07</x:v>
      </x:c>
      <x:c r="B17" t="str">
        <x:v>Prior coordinated baseline</x:v>
      </x:c>
      <x:c r="C17" t="str">
        <x:v>RETAINED</x:v>
      </x:c>
      <x:c r="D17" t="str">
        <x:v>Original approved coordinated scheduling version</x:v>
      </x:c>
      <x:c r="E17" s="54" t="n">
        <x:v>45931</x:v>
      </x:c>
      <x:c r="F17" s="54" t="n">
        <x:v>46266</x:v>
      </x:c>
      <x:c r="G17" t="n">
        <x:v>0</x:v>
      </x:c>
      <x:c r="H17" t="str">
        <x:v>Historical date comparator; no baseline overwrite</x:v>
      </x:c>
    </x:row>
    <x:row r="18" ht="21" customHeight="1">
      <x:c r="A18" t="str">
        <x:v>P07</x:v>
      </x:c>
      <x:c r="B18" t="str">
        <x:v>Synthetic recovery baseline</x:v>
      </x:c>
      <x:c r="C18" t="str">
        <x:v>APPROVED</x:v>
      </x:c>
      <x:c r="D18" t="str">
        <x:v>Unchanged reference network, carried forward</x:v>
      </x:c>
      <x:c r="E18" s="54" t="n">
        <x:v>45931</x:v>
      </x:c>
      <x:c r="F18" s="54" t="n">
        <x:v>46266</x:v>
      </x:c>
      <x:c r="G18" t="n">
        <x:v>0</x:v>
      </x:c>
      <x:c r="H18" t="str">
        <x:v>Reference project dates unchanged; CPM/float calculated. P12 is standing work.</x:v>
      </x:c>
    </x:row>
    <x:row r="19" ht="21" customHeight="1">
      <x:c r="A19" t="str">
        <x:v>P08</x:v>
      </x:c>
      <x:c r="B19" t="str">
        <x:v>Prior coordinated baseline</x:v>
      </x:c>
      <x:c r="C19" t="str">
        <x:v>RETAINED</x:v>
      </x:c>
      <x:c r="D19" t="str">
        <x:v>Original approved coordinated scheduling version</x:v>
      </x:c>
      <x:c r="E19" s="54" t="n">
        <x:v>45992</x:v>
      </x:c>
      <x:c r="F19" s="54" t="n">
        <x:v>46395</x:v>
      </x:c>
      <x:c r="G19" t="n">
        <x:v>0</x:v>
      </x:c>
      <x:c r="H19" t="str">
        <x:v>Historical date comparator; no baseline overwrite</x:v>
      </x:c>
    </x:row>
    <x:row r="20" ht="21" customHeight="1">
      <x:c r="A20" t="str">
        <x:v>P08</x:v>
      </x:c>
      <x:c r="B20" t="str">
        <x:v>Synthetic recovery baseline</x:v>
      </x:c>
      <x:c r="C20" t="str">
        <x:v>APPROVED</x:v>
      </x:c>
      <x:c r="D20" t="str">
        <x:v>Unchanged reference network, carried forward</x:v>
      </x:c>
      <x:c r="E20" s="54" t="n">
        <x:v>45992</x:v>
      </x:c>
      <x:c r="F20" s="54" t="n">
        <x:v>46395</x:v>
      </x:c>
      <x:c r="G20" t="n">
        <x:v>0</x:v>
      </x:c>
      <x:c r="H20" t="str">
        <x:v>Reference project dates unchanged; CPM/float calculated. P12 is standing work.</x:v>
      </x:c>
    </x:row>
    <x:row r="21" ht="21" customHeight="1">
      <x:c r="A21" t="str">
        <x:v>P09</x:v>
      </x:c>
      <x:c r="B21" t="str">
        <x:v>Prior coordinated baseline</x:v>
      </x:c>
      <x:c r="C21" t="str">
        <x:v>RETAINED</x:v>
      </x:c>
      <x:c r="D21" t="str">
        <x:v>Original approved coordinated scheduling version</x:v>
      </x:c>
      <x:c r="E21" s="54" t="n">
        <x:v>46055</x:v>
      </x:c>
      <x:c r="F21" s="54" t="n">
        <x:v>46449</x:v>
      </x:c>
      <x:c r="G21" t="n">
        <x:v>0</x:v>
      </x:c>
      <x:c r="H21" t="str">
        <x:v>Historical date comparator; no baseline overwrite</x:v>
      </x:c>
    </x:row>
    <x:row r="22" ht="21" customHeight="1">
      <x:c r="A22" t="str">
        <x:v>P09</x:v>
      </x:c>
      <x:c r="B22" t="str">
        <x:v>Synthetic recovery baseline</x:v>
      </x:c>
      <x:c r="C22" t="str">
        <x:v>APPROVED</x:v>
      </x:c>
      <x:c r="D22" t="str">
        <x:v>Unchanged reference network, carried forward</x:v>
      </x:c>
      <x:c r="E22" s="54" t="n">
        <x:v>46055</x:v>
      </x:c>
      <x:c r="F22" s="54" t="n">
        <x:v>46449</x:v>
      </x:c>
      <x:c r="G22" t="n">
        <x:v>0</x:v>
      </x:c>
      <x:c r="H22" t="str">
        <x:v>Reference project dates unchanged; CPM/float calculated. P12 is standing work.</x:v>
      </x:c>
    </x:row>
    <x:row r="23" ht="21" customHeight="1">
      <x:c r="A23" t="str">
        <x:v>P10</x:v>
      </x:c>
      <x:c r="B23" t="str">
        <x:v>Prior coordinated baseline</x:v>
      </x:c>
      <x:c r="C23" t="str">
        <x:v>SUPERSEDED</x:v>
      </x:c>
      <x:c r="D23" t="str">
        <x:v>Original approved coordinated scheduling version</x:v>
      </x:c>
      <x:c r="E23" s="54" t="n">
        <x:v>46113</x:v>
      </x:c>
      <x:c r="F23" s="54" t="n">
        <x:v>46619</x:v>
      </x:c>
      <x:c r="G23" t="n">
        <x:v>0</x:v>
      </x:c>
      <x:c r="H23" t="str">
        <x:v>Historical date comparator; no baseline overwrite</x:v>
      </x:c>
    </x:row>
    <x:row r="24" ht="21" customHeight="1">
      <x:c r="A24" t="str">
        <x:v>P10</x:v>
      </x:c>
      <x:c r="B24" t="str">
        <x:v>Synthetic recovery baseline</x:v>
      </x:c>
      <x:c r="C24" t="str">
        <x:v>APPROVED</x:v>
      </x:c>
      <x:c r="D24" t="str">
        <x:v>Reconstructed network with accepted documented assumptions</x:v>
      </x:c>
      <x:c r="E24" s="54" t="n">
        <x:v>46113</x:v>
      </x:c>
      <x:c r="F24" s="54" t="n">
        <x:v>46605</x:v>
      </x:c>
      <x:c r="G24" t="n">
        <x:v>-14</x:v>
      </x:c>
      <x:c r="H24" t="str">
        <x:v>User-approved synthetic baseline + release holds; CPM/float calculated, all approved finish dates retained</x:v>
      </x:c>
    </x:row>
    <x:row r="25" ht="21" customHeight="1">
      <x:c r="A25" t="str">
        <x:v>P11</x:v>
      </x:c>
      <x:c r="B25" t="str">
        <x:v>Prior coordinated baseline</x:v>
      </x:c>
      <x:c r="C25" t="str">
        <x:v>RETAINED</x:v>
      </x:c>
      <x:c r="D25" t="str">
        <x:v>Original approved coordinated scheduling version</x:v>
      </x:c>
      <x:c r="E25" s="54" t="n">
        <x:v>45748</x:v>
      </x:c>
      <x:c r="F25" s="54" t="n">
        <x:v>46090</x:v>
      </x:c>
      <x:c r="G25" t="n">
        <x:v>0</x:v>
      </x:c>
      <x:c r="H25" t="str">
        <x:v>Historical date comparator; no baseline overwrite</x:v>
      </x:c>
    </x:row>
    <x:row r="26" ht="21" customHeight="1">
      <x:c r="A26" t="str">
        <x:v>P11</x:v>
      </x:c>
      <x:c r="B26" t="str">
        <x:v>Synthetic recovery baseline</x:v>
      </x:c>
      <x:c r="C26" t="str">
        <x:v>APPROVED</x:v>
      </x:c>
      <x:c r="D26" t="str">
        <x:v>Unchanged reference network, carried forward</x:v>
      </x:c>
      <x:c r="E26" s="54" t="n">
        <x:v>45748</x:v>
      </x:c>
      <x:c r="F26" s="54" t="n">
        <x:v>46090</x:v>
      </x:c>
      <x:c r="G26" t="n">
        <x:v>0</x:v>
      </x:c>
      <x:c r="H26" t="str">
        <x:v>Reference project dates unchanged; CPM/float calculated. P12 is standing work.</x:v>
      </x:c>
    </x:row>
    <x:row r="27" ht="21" customHeight="1">
      <x:c r="A27" t="str">
        <x:v>P12</x:v>
      </x:c>
      <x:c r="B27" t="str">
        <x:v>Prior coordinated baseline</x:v>
      </x:c>
      <x:c r="C27" t="str">
        <x:v>RETAINED</x:v>
      </x:c>
      <x:c r="D27" t="str">
        <x:v>Original approved coordinated scheduling version</x:v>
      </x:c>
      <x:c r="E27" s="54" t="n">
        <x:v>45659</x:v>
      </x:c>
      <x:c r="F27" s="54" t="n">
        <x:v>46561</x:v>
      </x:c>
      <x:c r="G27" t="n">
        <x:v>0</x:v>
      </x:c>
      <x:c r="H27" t="str">
        <x:v>Historical date comparator; no baseline overwrite</x:v>
      </x:c>
    </x:row>
    <x:row r="28" ht="21" customHeight="1">
      <x:c r="A28" t="str">
        <x:v>P12</x:v>
      </x:c>
      <x:c r="B28" t="str">
        <x:v>Synthetic recovery baseline</x:v>
      </x:c>
      <x:c r="C28" t="str">
        <x:v>APPROVED</x:v>
      </x:c>
      <x:c r="D28" t="str">
        <x:v>Unchanged reference network, carried forward</x:v>
      </x:c>
      <x:c r="E28" s="54" t="n">
        <x:v>45659</x:v>
      </x:c>
      <x:c r="F28" s="54" t="n">
        <x:v>46561</x:v>
      </x:c>
      <x:c r="G28" t="n">
        <x:v>0</x:v>
      </x:c>
      <x:c r="H28" t="str">
        <x:v>Reference project dates unchanged; CPM/float calculated. P12 is standing work.</x:v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3" hidden="0" customWidth="1"/>
    <x:col min="3" max="3" width="70" hidden="0" customWidth="1"/>
    <x:col min="4" max="4" width="70" hidden="0" customWidth="1"/>
  </x:cols>
  <x:sheetData>
    <x:row r="1">
      <x:c r="A1" t="str">
        <x:v>HWSD — Resource Capacity Assumptions</x:v>
      </x:c>
    </x:row>
    <x:row r="2">
      <x:c r="A2" t="str">
        <x:v>Planning assumptions are synthetic. Six concurrent distribution crews at peak vs seven-unit baseline; commissioning demand three vs two internal + one temporary specialist.</x:v>
      </x:c>
    </x:row>
    <x:row r="4" ht="35" customHeight="1">
      <x:c r="A4" s="48" t="str">
        <x:v>Assumption_ID</x:v>
      </x:c>
      <x:c r="B4" s="48" t="str">
        <x:v>Resource_or_Issue</x:v>
      </x:c>
      <x:c r="C4" s="48" t="str">
        <x:v>Approved_Assumption</x:v>
      </x:c>
      <x:c r="D4" s="48" t="str">
        <x:v>Sensitivity_or_Note</x:v>
      </x:c>
    </x:row>
    <x:row r="5" ht="21" customHeight="1">
      <x:c r="A5" t="str">
        <x:v>RA-01</x:v>
      </x:c>
      <x:c r="B5" t="str">
        <x:v>Distribution/excavation contractors</x:v>
      </x:c>
      <x:c r="C5" t="str">
        <x:v>7 concurrent crew groups available</x:v>
      </x:c>
      <x:c r="D5" t="str">
        <x:v>Approved baseline capacity</x:v>
      </x:c>
    </x:row>
    <x:row r="6" ht="21" customHeight="1">
      <x:c r="A6" t="str">
        <x:v>RA-02</x:v>
      </x:c>
      <x:c r="B6" t="str">
        <x:v>Distribution constrained sensitivity</x:v>
      </x:c>
      <x:c r="C6" t="str">
        <x:v>4 concurrent crews</x:v>
      </x:c>
      <x:c r="D6" t="str">
        <x:v>Sensitivity only; not baseline</x:v>
      </x:c>
    </x:row>
    <x:row r="7" ht="21" customHeight="1">
      <x:c r="A7" t="str">
        <x:v>RA-03</x:v>
      </x:c>
      <x:c r="B7" t="str">
        <x:v>P05 field delivery</x:v>
      </x:c>
      <x:c r="C7" t="str">
        <x:v>Maximum 3 concurrent field crew groups</x:v>
      </x:c>
      <x:c r="D7" t="str">
        <x:v>Existing approved schedule assumption</x:v>
      </x:c>
    </x:row>
    <x:row r="8" ht="21" customHeight="1">
      <x:c r="A8" t="str">
        <x:v>RA-04</x:v>
      </x:c>
      <x:c r="B8" t="str">
        <x:v>P11 field delivery</x:v>
      </x:c>
      <x:c r="C8" t="str">
        <x:v>Maximum 2 concurrent field crew groups</x:v>
      </x:c>
      <x:c r="D8" t="str">
        <x:v>Existing approved schedule assumption</x:v>
      </x:c>
    </x:row>
    <x:row r="9" ht="21" customHeight="1">
      <x:c r="A9" t="str">
        <x:v>RA-05</x:v>
      </x:c>
      <x:c r="B9" t="str">
        <x:v>P12 recurring work</x:v>
      </x:c>
      <x:c r="C9" t="str">
        <x:v>1 standing field crew/group per active annual cycle</x:v>
      </x:c>
      <x:c r="D9" t="str">
        <x:v>Synthetic portfolio assumption</x:v>
      </x:c>
    </x:row>
    <x:row r="10" ht="21" customHeight="1">
      <x:c r="A10" t="str">
        <x:v>RA-06</x:v>
      </x:c>
      <x:c r="B10" t="str">
        <x:v>Owner commissioning</x:v>
      </x:c>
      <x:c r="C10" t="str">
        <x:v>2 internal commissioning/acceptance teams</x:v>
      </x:c>
      <x:c r="D10" t="str">
        <x:v>Approved baseline capacity</x:v>
      </x:c>
    </x:row>
    <x:row r="11" ht="21" customHeight="1">
      <x:c r="A11" t="str">
        <x:v>RA-07</x:v>
      </x:c>
      <x:c r="B11" t="str">
        <x:v>Late-2026 commissioning peak</x:v>
      </x:c>
      <x:c r="C11" t="str">
        <x:v>+1 temporary specialist/vendor commissioning resource</x:v>
      </x:c>
      <x:c r="D11" t="str">
        <x:v>Preserves P03/P06/P08 dates</x:v>
      </x:c>
    </x:row>
    <x:row r="12" ht="21" customHeight="1">
      <x:c r="A12" t="str">
        <x:v>RA-08</x:v>
      </x:c>
      <x:c r="B12" t="str">
        <x:v>Electrical resources</x:v>
      </x:c>
      <x:c r="C12" t="str">
        <x:v>Multiple contractor packages may support approved overlap</x:v>
      </x:c>
      <x:c r="D12" t="str">
        <x:v>Monitor P08/P10 overlap; capacity not hard-leveled</x:v>
      </x:c>
    </x:row>
    <x:row r="13" ht="21" customHeight="1">
      <x:c r="A13" t="str">
        <x:v>RA-09</x:v>
      </x:c>
      <x:c r="B13" t="str">
        <x:v>Controls/I&amp;C resources</x:v>
      </x:c>
      <x:c r="C13" t="str">
        <x:v>Multiple specialist resources may operate concurrently</x:v>
      </x:c>
      <x:c r="D13" t="str">
        <x:v>Interface logic manages dependency rather than delaying all P10</x:v>
      </x:c>
    </x:row>
    <x:row r="14" ht="21" customHeight="1">
      <x:c r="A14" t="str">
        <x:v>RA-10</x:v>
      </x:c>
      <x:c r="B14" t="str">
        <x:v>Owner inspection</x:v>
      </x:c>
      <x:c r="C14" t="str">
        <x:v>Capacity not hard-leveled yet</x:v>
      </x:c>
      <x:c r="D14" t="str">
        <x:v>Track detailed demand before treating as a hard constraint</x:v>
      </x:c>
    </x:row>
    <x:row r="15" ht="21" customHeight="1">
      <x:c r="A15" t="str">
        <x:v>RA-11</x:v>
      </x:c>
      <x:c r="B15" t="str">
        <x:v>PM / project-controls staff</x:v>
      </x:c>
      <x:c r="C15" t="str">
        <x:v>Management workload KPI, not hard schedule constraint</x:v>
      </x:c>
      <x:c r="D15" t="str">
        <x:v>Revisit if staffing model is added</x:v>
      </x:c>
    </x:row>
    <x:row r="16" ht="21" customHeight="1">
      <x:c r="A16" t="str">
        <x:v>RA-12</x:v>
      </x:c>
      <x:c r="B16" t="str">
        <x:v>Baseline feasibility</x:v>
      </x:c>
      <x:c r="C16" t="str">
        <x:v>Dates feasible conditional on approved capacity assumptions</x:v>
      </x:c>
      <x:c r="D16" t="str">
        <x:v>Portfolio baseline disclaimer</x:v>
      </x:c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2" hidden="0" customWidth="1"/>
    <x:col min="9" max="9" width="36" hidden="0" customWidth="1"/>
    <x:col min="10" max="10" width="75" hidden="0" customWidth="1"/>
  </x:cols>
  <x:sheetData>
    <x:row r="1">
      <x:c r="A1" t="str">
        <x:v>HWSD — Baseline Date Reconciliation</x:v>
      </x:c>
    </x:row>
    <x:row r="2">
      <x:c r="A2" t="str">
        <x:v>Phase 1 placeholders → previously approved coordinated dates → user-approved synthetic recovery dates. P12 is recurring standing work.</x:v>
      </x:c>
    </x:row>
    <x:row r="4" ht="35" customHeight="1">
      <x:c r="A4" s="48" t="str">
        <x:v>Project_ID</x:v>
      </x:c>
      <x:c r="B4" s="48" t="str">
        <x:v>Phase_1_Planned_Start</x:v>
      </x:c>
      <x:c r="C4" s="48" t="str">
        <x:v>Phase_1_Planned_Finish</x:v>
      </x:c>
      <x:c r="D4" s="48" t="str">
        <x:v>Prior_Approved_Baseline_Start</x:v>
      </x:c>
      <x:c r="E4" s="48" t="str">
        <x:v>Prior_Approved_Baseline_Finish</x:v>
      </x:c>
      <x:c r="F4" s="48" t="str">
        <x:v>Approved_Recovery_Baseline_Start</x:v>
      </x:c>
      <x:c r="G4" s="48" t="str">
        <x:v>Approved_Recovery_Baseline_Finish</x:v>
      </x:c>
      <x:c r="H4" s="48" t="str">
        <x:v>Finish_Variance_Calendar_Days</x:v>
      </x:c>
      <x:c r="I4" s="48" t="str">
        <x:v>Status</x:v>
      </x:c>
      <x:c r="J4" s="48" t="str">
        <x:v>Notes</x:v>
      </x:c>
    </x:row>
    <x:row r="5" ht="21" customHeight="1">
      <x:c r="A5" t="str">
        <x:v>P01</x:v>
      </x:c>
      <x:c r="B5" s="54" t="n">
        <x:v>45658</x:v>
      </x:c>
      <x:c r="C5" s="54" t="n">
        <x:v>46054</x:v>
      </x:c>
      <x:c r="D5" s="54" t="n">
        <x:v>45659</x:v>
      </x:c>
      <x:c r="E5" s="54" t="n">
        <x:v>46027</x:v>
      </x:c>
      <x:c r="F5" s="54" t="n">
        <x:v>45659</x:v>
      </x:c>
      <x:c r="G5" s="54" t="n">
        <x:v>46020</x:v>
      </x:c>
      <x:c r="H5" t="n">
        <x:v>-7</x:v>
      </x:c>
      <x:c r="I5" t="str">
        <x:v>APPROVED SYNTHETIC RECOVERY</x:v>
      </x:c>
      <x:c r="J5" t="str">
        <x:v>Synthetic recovery of original unavailable executable schedule</x:v>
      </x:c>
    </x:row>
    <x:row r="6" ht="21" customHeight="1">
      <x:c r="A6" t="str">
        <x:v>P02</x:v>
      </x:c>
      <x:c r="B6" s="54" t="n">
        <x:v>45689</x:v>
      </x:c>
      <x:c r="C6" s="54" t="n">
        <x:v>46266</x:v>
      </x:c>
      <x:c r="D6" s="54" t="n">
        <x:v>45691</x:v>
      </x:c>
      <x:c r="E6" s="54" t="n">
        <x:v>46113</x:v>
      </x:c>
      <x:c r="F6" s="54" t="n">
        <x:v>45691</x:v>
      </x:c>
      <x:c r="G6" s="54" t="n">
        <x:v>46078</x:v>
      </x:c>
      <x:c r="H6" t="n">
        <x:v>-35</x:v>
      </x:c>
      <x:c r="I6" t="str">
        <x:v>APPROVED SYNTHETIC RECOVERY</x:v>
      </x:c>
      <x:c r="J6" t="str">
        <x:v>Synthetic recovery of original unavailable executable schedule</x:v>
      </x:c>
    </x:row>
    <x:row r="7" ht="21" customHeight="1">
      <x:c r="A7" t="str">
        <x:v>P03</x:v>
      </x:c>
      <x:c r="B7" s="54" t="n">
        <x:v>45658</x:v>
      </x:c>
      <x:c r="C7" s="54" t="n">
        <x:v>46631</x:v>
      </x:c>
      <x:c r="D7" s="54" t="n">
        <x:v>45659</x:v>
      </x:c>
      <x:c r="E7" s="54" t="n">
        <x:v>46435</x:v>
      </x:c>
      <x:c r="F7" s="54" t="n">
        <x:v>45659</x:v>
      </x:c>
      <x:c r="G7" s="54" t="n">
        <x:v>46414</x:v>
      </x:c>
      <x:c r="H7" t="n">
        <x:v>-21</x:v>
      </x:c>
      <x:c r="I7" t="str">
        <x:v>APPROVED SYNTHETIC RECOVERY</x:v>
      </x:c>
      <x:c r="J7" t="str">
        <x:v>Synthetic recovery of original unavailable executable schedule</x:v>
      </x:c>
    </x:row>
    <x:row r="8" ht="21" customHeight="1">
      <x:c r="A8" t="str">
        <x:v>P04</x:v>
      </x:c>
      <x:c r="B8" s="54" t="n">
        <x:v>45809</x:v>
      </x:c>
      <x:c r="C8" s="54" t="n">
        <x:v>46113</x:v>
      </x:c>
      <x:c r="D8" s="54" t="n">
        <x:v>45810</x:v>
      </x:c>
      <x:c r="E8" s="54" t="n">
        <x:v>46136</x:v>
      </x:c>
      <x:c r="F8" s="54" t="n">
        <x:v>45810</x:v>
      </x:c>
      <x:c r="G8" s="54" t="n">
        <x:v>46136</x:v>
      </x:c>
      <x:c r="H8" t="n">
        <x:v>0</x:v>
      </x:c>
      <x:c r="I8" t="str">
        <x:v>UNCHANGED REFERENCE</x:v>
      </x:c>
      <x:c r="J8" t="str">
        <x:v>Unchanged project baseline, no new full reconstruction</x:v>
      </x:c>
    </x:row>
    <x:row r="9" ht="21" customHeight="1">
      <x:c r="A9" t="str">
        <x:v>P05</x:v>
      </x:c>
      <x:c r="B9" s="54" t="n">
        <x:v>45717</x:v>
      </x:c>
      <x:c r="C9" s="54" t="n">
        <x:v>46357</x:v>
      </x:c>
      <x:c r="D9" s="54" t="n">
        <x:v>45719</x:v>
      </x:c>
      <x:c r="E9" s="54" t="n">
        <x:v>46157</x:v>
      </x:c>
      <x:c r="F9" s="54" t="n">
        <x:v>45719</x:v>
      </x:c>
      <x:c r="G9" s="54" t="n">
        <x:v>46157</x:v>
      </x:c>
      <x:c r="H9" t="n">
        <x:v>0</x:v>
      </x:c>
      <x:c r="I9" t="str">
        <x:v>UNCHANGED REFERENCE</x:v>
      </x:c>
      <x:c r="J9" t="str">
        <x:v>Unchanged project baseline, no new full reconstruction</x:v>
      </x:c>
    </x:row>
    <x:row r="10" ht="21" customHeight="1">
      <x:c r="A10" t="str">
        <x:v>P06</x:v>
      </x:c>
      <x:c r="B10" s="54" t="n">
        <x:v>45870</x:v>
      </x:c>
      <x:c r="C10" s="54" t="n">
        <x:v>46296</x:v>
      </x:c>
      <x:c r="D10" s="54" t="n">
        <x:v>45870</x:v>
      </x:c>
      <x:c r="E10" s="54" t="n">
        <x:v>46394</x:v>
      </x:c>
      <x:c r="F10" s="54" t="n">
        <x:v>45870</x:v>
      </x:c>
      <x:c r="G10" s="54" t="n">
        <x:v>46380</x:v>
      </x:c>
      <x:c r="H10" t="n">
        <x:v>-14</x:v>
      </x:c>
      <x:c r="I10" t="str">
        <x:v>APPROVED SYNTHETIC RECOVERY</x:v>
      </x:c>
      <x:c r="J10" t="str">
        <x:v>Synthetic recovery of original unavailable executable schedule</x:v>
      </x:c>
    </x:row>
    <x:row r="11" ht="21" customHeight="1">
      <x:c r="A11" t="str">
        <x:v>P07</x:v>
      </x:c>
      <x:c r="B11" s="54" t="n">
        <x:v>45931</x:v>
      </x:c>
      <x:c r="C11" s="54" t="n">
        <x:v>46174</x:v>
      </x:c>
      <x:c r="D11" s="54" t="n">
        <x:v>45931</x:v>
      </x:c>
      <x:c r="E11" s="54" t="n">
        <x:v>46266</x:v>
      </x:c>
      <x:c r="F11" s="54" t="n">
        <x:v>45931</x:v>
      </x:c>
      <x:c r="G11" s="54" t="n">
        <x:v>46266</x:v>
      </x:c>
      <x:c r="H11" t="n">
        <x:v>0</x:v>
      </x:c>
      <x:c r="I11" t="str">
        <x:v>UNCHANGED REFERENCE</x:v>
      </x:c>
      <x:c r="J11" t="str">
        <x:v>Unchanged project baseline, no new full reconstruction</x:v>
      </x:c>
    </x:row>
    <x:row r="12" ht="21" customHeight="1">
      <x:c r="A12" t="str">
        <x:v>P08</x:v>
      </x:c>
      <x:c r="B12" s="54" t="n">
        <x:v>45992</x:v>
      </x:c>
      <x:c r="C12" s="54" t="n">
        <x:v>46419</x:v>
      </x:c>
      <x:c r="D12" s="54" t="n">
        <x:v>45992</x:v>
      </x:c>
      <x:c r="E12" s="54" t="n">
        <x:v>46395</x:v>
      </x:c>
      <x:c r="F12" s="54" t="n">
        <x:v>45992</x:v>
      </x:c>
      <x:c r="G12" s="54" t="n">
        <x:v>46395</x:v>
      </x:c>
      <x:c r="H12" t="n">
        <x:v>0</x:v>
      </x:c>
      <x:c r="I12" t="str">
        <x:v>UNCHANGED REFERENCE</x:v>
      </x:c>
      <x:c r="J12" t="str">
        <x:v>Unchanged project baseline, no new full reconstruction</x:v>
      </x:c>
    </x:row>
    <x:row r="13" ht="21" customHeight="1">
      <x:c r="A13" t="str">
        <x:v>P09</x:v>
      </x:c>
      <x:c r="B13" s="54" t="n">
        <x:v>46054</x:v>
      </x:c>
      <x:c r="C13" s="54" t="n">
        <x:v>46478</x:v>
      </x:c>
      <x:c r="D13" s="54" t="n">
        <x:v>46055</x:v>
      </x:c>
      <x:c r="E13" s="54" t="n">
        <x:v>46449</x:v>
      </x:c>
      <x:c r="F13" s="54" t="n">
        <x:v>46055</x:v>
      </x:c>
      <x:c r="G13" s="54" t="n">
        <x:v>46449</x:v>
      </x:c>
      <x:c r="H13" t="n">
        <x:v>0</x:v>
      </x:c>
      <x:c r="I13" t="str">
        <x:v>UNCHANGED REFERENCE</x:v>
      </x:c>
      <x:c r="J13" t="str">
        <x:v>Unchanged project baseline, no new full reconstruction</x:v>
      </x:c>
    </x:row>
    <x:row r="14" ht="21" customHeight="1">
      <x:c r="A14" t="str">
        <x:v>P10</x:v>
      </x:c>
      <x:c r="B14" s="54" t="n">
        <x:v>46113</x:v>
      </x:c>
      <x:c r="C14" s="54" t="n">
        <x:v>46447</x:v>
      </x:c>
      <x:c r="D14" s="54" t="n">
        <x:v>46113</x:v>
      </x:c>
      <x:c r="E14" s="54" t="n">
        <x:v>46619</x:v>
      </x:c>
      <x:c r="F14" s="54" t="n">
        <x:v>46113</x:v>
      </x:c>
      <x:c r="G14" s="54" t="n">
        <x:v>46605</x:v>
      </x:c>
      <x:c r="H14" t="n">
        <x:v>-14</x:v>
      </x:c>
      <x:c r="I14" t="str">
        <x:v>APPROVED SYNTHETIC RECOVERY</x:v>
      </x:c>
      <x:c r="J14" t="str">
        <x:v>Synthetic recovery of original unavailable executable schedule</x:v>
      </x:c>
    </x:row>
    <x:row r="15" ht="21" customHeight="1">
      <x:c r="A15" t="str">
        <x:v>P11</x:v>
      </x:c>
      <x:c r="B15" s="54" t="n">
        <x:v>45748</x:v>
      </x:c>
      <x:c r="C15" s="54" t="n">
        <x:v>46235</x:v>
      </x:c>
      <x:c r="D15" s="54" t="n">
        <x:v>45748</x:v>
      </x:c>
      <x:c r="E15" s="54" t="n">
        <x:v>46090</x:v>
      </x:c>
      <x:c r="F15" s="54" t="n">
        <x:v>45748</x:v>
      </x:c>
      <x:c r="G15" s="54" t="n">
        <x:v>46090</x:v>
      </x:c>
      <x:c r="H15" t="n">
        <x:v>0</x:v>
      </x:c>
      <x:c r="I15" t="str">
        <x:v>UNCHANGED REFERENCE</x:v>
      </x:c>
      <x:c r="J15" t="str">
        <x:v>Unchanged project baseline, no new full reconstruction</x:v>
      </x:c>
    </x:row>
    <x:row r="16" ht="21" customHeight="1">
      <x:c r="A16" t="str">
        <x:v>P12</x:v>
      </x:c>
      <x:c r="B16" s="54" t="n">
        <x:v>45658</x:v>
      </x:c>
      <x:c r="C16" s="54" t="n">
        <x:v>46722</x:v>
      </x:c>
      <x:c r="D16" s="54" t="n">
        <x:v>45659</x:v>
      </x:c>
      <x:c r="E16" s="54" t="n">
        <x:v>46561</x:v>
      </x:c>
      <x:c r="F16" s="54" t="n">
        <x:v>45659</x:v>
      </x:c>
      <x:c r="G16" s="54" t="n">
        <x:v>46561</x:v>
      </x:c>
      <x:c r="H16" t="n">
        <x:v>0</x:v>
      </x:c>
      <x:c r="I16" t="str">
        <x:v>UNCHANGED REFERENCE</x:v>
      </x:c>
      <x:c r="J16" t="str">
        <x:v>P12 is standing work, not a discrete program-level substantial-completion gate</x:v>
      </x:c>
    </x:row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105" hidden="0" customWidth="1"/>
  </x:cols>
  <x:sheetData>
    <x:row r="1">
      <x:c r="A1" s="84" t="str">
        <x:v>HWSD — CPM, Calendar &amp; Baseline Constraints</x:v>
      </x:c>
      <x:c r="B1" s="84"/>
    </x:row>
    <x:row r="2">
      <x:c r="A2" s="84" t="str">
        <x:v>Approved synthetic recovery, project-finish anchored CPM snapshot — not resource-leveled or a forecast.</x:v>
      </x:c>
      <x:c r="B2" s="84"/>
    </x:row>
    <x:row r="4" ht="33" customHeight="1">
      <x:c r="A4" s="94" t="str">
        <x:v>Method / Assumption</x:v>
      </x:c>
      <x:c r="B4" s="94" t="str">
        <x:v>Applied Convention / Limitation</x:v>
      </x:c>
    </x:row>
    <x:row r="5" ht="48" customHeight="1">
      <x:c r="A5" s="87" t="str">
        <x:v>Calendar</x:v>
      </x:c>
      <x:c r="B5" s="88" t="str">
        <x:v>Monday–Friday business days, no holidays; all task durations inclusive, milestones zero duration.</x:v>
      </x:c>
    </x:row>
    <x:row r="6" ht="48" customHeight="1">
      <x:c r="A6" s="87" t="str">
        <x:v>FS milestone convention</x:v>
      </x:c>
      <x:c r="B6" s="88" t="str">
        <x:v>For FS+0, zero-duration successor milestones fire on predecessor finish date; task successors start next business day. Lag is in business days.</x:v>
      </x:c>
    </x:row>
    <x:row r="7" ht="48" customHeight="1">
      <x:c r="A7" s="87" t="str">
        <x:v>SS / FF conventions</x:v>
      </x:c>
      <x:c r="B7" s="88" t="str">
        <x:v>SS lag constrains successor start against predecessor start. FF lag constrains successor finish against predecessor finish.</x:v>
      </x:c>
    </x:row>
    <x:row r="8" ht="48" customHeight="1">
      <x:c r="A8" s="87" t="str">
        <x:v>Early dates</x:v>
      </x:c>
      <x:c r="B8" s="88" t="str">
        <x:v>Forward pass uses approved per-project start as the lower anchor, all cross-project dependencies, and approved release holds.</x:v>
      </x:c>
    </x:row>
    <x:row r="9" ht="48" customHeight="1">
      <x:c r="A9" s="87" t="str">
        <x:v>Late dates</x:v>
      </x:c>
      <x:c r="B9" s="88" t="str">
        <x:v>Backward pass constrains every activity finish no later than its own approved project finish and honors cross-project dependencies.</x:v>
      </x:c>
    </x:row>
    <x:row r="10" ht="48" customHeight="1">
      <x:c r="A10" s="87" t="str">
        <x:v>Total Float</x:v>
      </x:c>
      <x:c r="B10" s="88" t="str">
        <x:v>Late Start minus Early Start in business days; float is relative to each approved project finish, not a common program finish.</x:v>
      </x:c>
    </x:row>
    <x:row r="11" ht="48" customHeight="1">
      <x:c r="A11" s="87" t="str">
        <x:v>Critical Flag</x:v>
      </x:c>
      <x:c r="B11" s="88" t="str">
        <x:v>TRUE when total float is zero business days. Near-critical is 1–5 business days. Critical paths are based on tight relationships, not just a label.</x:v>
      </x:c>
    </x:row>
    <x:row r="12" ht="48" customHeight="1">
      <x:c r="A12" s="87" t="str">
        <x:v>P08 MOUTAGE fixed event</x:v>
      </x:c>
      <x:c r="B12" s="88" t="str">
        <x:v>P08-MOUTAGE (Outage Planning Complete) retains its previously approved 2026-05-22 date as an explicit fixed-date milestone; A14 planning finishes 2026-05-08. No unsourced 10bd causal hold was added; the milestone may have constraint-driven zero float and is not itself evidence of a driving construction path.</x:v>
      </x:c>
    </x:row>
    <x:row r="13" ht="48" customHeight="1">
      <x:c r="A13" s="87" t="str">
        <x:v>Five approved NTP release holds</x:v>
      </x:c>
      <x:c r="B13" s="88" t="str">
        <x:v>P04 R0133 +15bd; P05 R0161 +5bd; P07 R0260 +10bd; P08 R0291 +10bd; P11 R0434 +5bd. Synthetic, explicitly user approved; NOT recovered originals.</x:v>
      </x:c>
    </x:row>
    <x:row r="14" ht="48" customHeight="1">
      <x:c r="A14" s="87" t="str">
        <x:v>P12 standing program</x:v>
      </x:c>
      <x:c r="B14" s="88" t="str">
        <x:v>P12 uses its own June 23, 2027 finish for float. It is standing work, not an ordinary program Substantial Completion gate.</x:v>
      </x:c>
    </x:row>
    <x:row r="15" ht="48" customHeight="1">
      <x:c r="A15" s="87" t="str">
        <x:v>Capacity screening</x:v>
      </x:c>
      <x:c r="B15" s="88" t="str">
        <x:v>Distribution peak 6 vs baseline 7 contractor crew groups (4-crew sensitivity deficit 2). Commissioning peak 3 vs 2 internal +1 temporary specialist; temporary resource not booked.</x:v>
      </x:c>
    </x:row>
    <x:row r="16" ht="48" customHeight="1">
      <x:c r="A16" s="87" t="str">
        <x:v>Data limitations</x:v>
      </x:c>
      <x:c r="B16" s="88" t="str">
        <x:v>Seven P01/P02 activity durations remain provisional synthetic planning assumptions. Other reconstructed activity/relationship logic is model-derived, not original-script recovered.</x:v>
      </x:c>
    </x:row>
    <x:row r="17">
      <x:c r="A17" t="str">
        <x:v>Approval and source</x:v>
      </x:c>
      <x:c r="B17" t="str">
        <x:v>User approved synthetic recovery project finishes and five date-neutral release holds; previously approved project boundaries preserved.</x:v>
      </x:c>
    </x:row>
  </x:sheetData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defaultRowHeight="15"/>
  <x:cols>
    <x:col min="8" max="8" width="55" hidden="0" customWidth="1"/>
    <x:col min="9" max="9" width="55" hidden="0" customWidth="1"/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</x:cols>
  <x:sheetData>
    <x:row r="1">
      <x:c r="A1" t="str">
        <x:v>HWSD — Baseline Critical Path Summary</x:v>
      </x:c>
    </x:row>
    <x:row r="2">
      <x:c r="A2" t="str">
        <x:v>Project-finish anchored float; critical=0bd, near-critical=1–5bd. P08 outage has a separately constrained milestone.</x:v>
      </x:c>
    </x:row>
    <x:row r="4" ht="33" customHeight="1">
      <x:c r="A4" s="91" t="str">
        <x:v>Project_ID</x:v>
      </x:c>
      <x:c r="B4" s="91" t="str">
        <x:v>Approved_Baseline_Start</x:v>
      </x:c>
      <x:c r="C4" s="91" t="str">
        <x:v>Approved_Baseline_Finish</x:v>
      </x:c>
      <x:c r="D4" s="91" t="str">
        <x:v>Schedule_Rows</x:v>
      </x:c>
      <x:c r="E4" s="91" t="str">
        <x:v>Critical_Rows</x:v>
      </x:c>
      <x:c r="F4" s="91" t="str">
        <x:v>Near_Critical_Rows</x:v>
      </x:c>
      <x:c r="G4" s="91" t="str">
        <x:v>Critical_Link_Count</x:v>
      </x:c>
      <x:c r="H4" s="91" t="str">
        <x:v>Critical_Start_Activities</x:v>
      </x:c>
      <x:c r="I4" s="91" t="str">
        <x:v>Critical_End_Activities</x:v>
      </x:c>
    </x:row>
    <x:row r="5">
      <x:c r="A5" t="str">
        <x:v>P01</x:v>
      </x:c>
      <x:c r="B5" s="54" t="n">
        <x:v>45659</x:v>
      </x:c>
      <x:c r="C5" s="54" t="n">
        <x:v>46020</x:v>
      </x:c>
      <x:c r="D5" t="n">
        <x:v>25</x:v>
      </x:c>
      <x:c r="E5" t="n">
        <x:v>19</x:v>
      </x:c>
      <x:c r="F5" t="n">
        <x:v>0</x:v>
      </x:c>
      <x:c r="G5" t="n">
        <x:v>18</x:v>
      </x:c>
      <x:c r="H5" t="str">
        <x:v>P01-A1</x:v>
      </x:c>
      <x:c r="I5" t="str">
        <x:v>P01-M4</x:v>
      </x:c>
    </x:row>
    <x:row r="6">
      <x:c r="A6" t="str">
        <x:v>P02</x:v>
      </x:c>
      <x:c r="B6" s="54" t="n">
        <x:v>45691</x:v>
      </x:c>
      <x:c r="C6" s="54" t="n">
        <x:v>46078</x:v>
      </x:c>
      <x:c r="D6" t="n">
        <x:v>33</x:v>
      </x:c>
      <x:c r="E6" t="n">
        <x:v>17</x:v>
      </x:c>
      <x:c r="F6" t="n">
        <x:v>1</x:v>
      </x:c>
      <x:c r="G6" t="n">
        <x:v>16</x:v>
      </x:c>
      <x:c r="H6" t="str">
        <x:v>P02-A1</x:v>
      </x:c>
      <x:c r="I6" t="str">
        <x:v>P02-M5</x:v>
      </x:c>
    </x:row>
    <x:row r="7">
      <x:c r="A7" t="str">
        <x:v>P03</x:v>
      </x:c>
      <x:c r="B7" s="54" t="n">
        <x:v>45659</x:v>
      </x:c>
      <x:c r="C7" s="54" t="n">
        <x:v>46414</x:v>
      </x:c>
      <x:c r="D7" t="n">
        <x:v>48</x:v>
      </x:c>
      <x:c r="E7" t="n">
        <x:v>26</x:v>
      </x:c>
      <x:c r="F7" t="n">
        <x:v>0</x:v>
      </x:c>
      <x:c r="G7" t="n">
        <x:v>25</x:v>
      </x:c>
      <x:c r="H7" t="str">
        <x:v>P03-A1</x:v>
      </x:c>
      <x:c r="I7" t="str">
        <x:v>P03-M4</x:v>
      </x:c>
    </x:row>
    <x:row r="8">
      <x:c r="A8" t="str">
        <x:v>P04</x:v>
      </x:c>
      <x:c r="B8" s="54" t="n">
        <x:v>45810</x:v>
      </x:c>
      <x:c r="C8" s="54" t="n">
        <x:v>46136</x:v>
      </x:c>
      <x:c r="D8" t="n">
        <x:v>26</x:v>
      </x:c>
      <x:c r="E8" t="n">
        <x:v>21</x:v>
      </x:c>
      <x:c r="F8" t="n">
        <x:v>1</x:v>
      </x:c>
      <x:c r="G8" t="n">
        <x:v>20</x:v>
      </x:c>
      <x:c r="H8" t="str">
        <x:v>P04-A1</x:v>
      </x:c>
      <x:c r="I8" t="str">
        <x:v>P04-M4</x:v>
      </x:c>
    </x:row>
    <x:row r="9">
      <x:c r="A9" t="str">
        <x:v>P05</x:v>
      </x:c>
      <x:c r="B9" s="54" t="n">
        <x:v>45719</x:v>
      </x:c>
      <x:c r="C9" s="54" t="n">
        <x:v>46157</x:v>
      </x:c>
      <x:c r="D9" t="n">
        <x:v>39</x:v>
      </x:c>
      <x:c r="E9" t="n">
        <x:v>21</x:v>
      </x:c>
      <x:c r="F9" t="n">
        <x:v>0</x:v>
      </x:c>
      <x:c r="G9" t="n">
        <x:v>21</x:v>
      </x:c>
      <x:c r="H9" t="str">
        <x:v>P05-A1</x:v>
      </x:c>
      <x:c r="I9" t="str">
        <x:v>P05-M4</x:v>
      </x:c>
    </x:row>
    <x:row r="10">
      <x:c r="A10" t="str">
        <x:v>P06</x:v>
      </x:c>
      <x:c r="B10" s="54" t="n">
        <x:v>45870</x:v>
      </x:c>
      <x:c r="C10" s="54" t="n">
        <x:v>46380</x:v>
      </x:c>
      <x:c r="D10" t="n">
        <x:v>48</x:v>
      </x:c>
      <x:c r="E10" t="n">
        <x:v>23</x:v>
      </x:c>
      <x:c r="F10" t="n">
        <x:v>0</x:v>
      </x:c>
      <x:c r="G10" t="n">
        <x:v>23</x:v>
      </x:c>
      <x:c r="H10" t="str">
        <x:v>P06-A1</x:v>
      </x:c>
      <x:c r="I10" t="str">
        <x:v>P06-M4</x:v>
      </x:c>
    </x:row>
    <x:row r="11">
      <x:c r="A11" t="str">
        <x:v>P07</x:v>
      </x:c>
      <x:c r="B11" s="54" t="n">
        <x:v>45931</x:v>
      </x:c>
      <x:c r="C11" s="54" t="n">
        <x:v>46266</x:v>
      </x:c>
      <x:c r="D11" t="n">
        <x:v>27</x:v>
      </x:c>
      <x:c r="E11" t="n">
        <x:v>19</x:v>
      </x:c>
      <x:c r="F11" t="n">
        <x:v>0</x:v>
      </x:c>
      <x:c r="G11" t="n">
        <x:v>18</x:v>
      </x:c>
      <x:c r="H11" t="str">
        <x:v>P07-A1</x:v>
      </x:c>
      <x:c r="I11" t="str">
        <x:v>P07-M4</x:v>
      </x:c>
    </x:row>
    <x:row r="12">
      <x:c r="A12" t="str">
        <x:v>P08</x:v>
      </x:c>
      <x:c r="B12" s="54" t="n">
        <x:v>45992</x:v>
      </x:c>
      <x:c r="C12" s="54" t="n">
        <x:v>46395</x:v>
      </x:c>
      <x:c r="D12" t="n">
        <x:v>38</x:v>
      </x:c>
      <x:c r="E12" t="n">
        <x:v>22</x:v>
      </x:c>
      <x:c r="F12" t="n">
        <x:v>0</x:v>
      </x:c>
      <x:c r="G12" t="n">
        <x:v>20</x:v>
      </x:c>
      <x:c r="H12" t="str">
        <x:v>P08-A1, P08-MOUTAGE</x:v>
      </x:c>
      <x:c r="I12" t="str">
        <x:v>P08-MOUTAGE, P08-M4</x:v>
      </x:c>
    </x:row>
    <x:row r="13">
      <x:c r="A13" t="str">
        <x:v>P09</x:v>
      </x:c>
      <x:c r="B13" s="54" t="n">
        <x:v>46055</x:v>
      </x:c>
      <x:c r="C13" s="54" t="n">
        <x:v>46449</x:v>
      </x:c>
      <x:c r="D13" t="n">
        <x:v>36</x:v>
      </x:c>
      <x:c r="E13" t="n">
        <x:v>19</x:v>
      </x:c>
      <x:c r="F13" t="n">
        <x:v>1</x:v>
      </x:c>
      <x:c r="G13" t="n">
        <x:v>18</x:v>
      </x:c>
      <x:c r="H13" t="str">
        <x:v>P09-A1</x:v>
      </x:c>
      <x:c r="I13" t="str">
        <x:v>P09-M4</x:v>
      </x:c>
    </x:row>
    <x:row r="14">
      <x:c r="A14" t="str">
        <x:v>P10</x:v>
      </x:c>
      <x:c r="B14" s="54" t="n">
        <x:v>46113</x:v>
      </x:c>
      <x:c r="C14" s="54" t="n">
        <x:v>46605</x:v>
      </x:c>
      <x:c r="D14" t="n">
        <x:v>45</x:v>
      </x:c>
      <x:c r="E14" t="n">
        <x:v>29</x:v>
      </x:c>
      <x:c r="F14" t="n">
        <x:v>0</x:v>
      </x:c>
      <x:c r="G14" t="n">
        <x:v>30</x:v>
      </x:c>
      <x:c r="H14" t="str">
        <x:v>P10-A1</x:v>
      </x:c>
      <x:c r="I14" t="str">
        <x:v>P10-M4</x:v>
      </x:c>
    </x:row>
    <x:row r="15">
      <x:c r="A15" t="str">
        <x:v>P11</x:v>
      </x:c>
      <x:c r="B15" s="54" t="n">
        <x:v>45748</x:v>
      </x:c>
      <x:c r="C15" s="54" t="n">
        <x:v>46090</x:v>
      </x:c>
      <x:c r="D15" t="n">
        <x:v>32</x:v>
      </x:c>
      <x:c r="E15" t="n">
        <x:v>17</x:v>
      </x:c>
      <x:c r="F15" t="n">
        <x:v>0</x:v>
      </x:c>
      <x:c r="G15" t="n">
        <x:v>16</x:v>
      </x:c>
      <x:c r="H15" t="str">
        <x:v>P11-A1</x:v>
      </x:c>
      <x:c r="I15" t="str">
        <x:v>P11-M4</x:v>
      </x:c>
    </x:row>
    <x:row r="16">
      <x:c r="A16" t="str">
        <x:v>P12</x:v>
      </x:c>
      <x:c r="B16" s="54" t="n">
        <x:v>45659</x:v>
      </x:c>
      <x:c r="C16" s="54" t="n">
        <x:v>46561</x:v>
      </x:c>
      <x:c r="D16" t="n">
        <x:v>31</x:v>
      </x:c>
      <x:c r="E16" t="n">
        <x:v>25</x:v>
      </x:c>
      <x:c r="F16" t="n">
        <x:v>0</x:v>
      </x:c>
      <x:c r="G16" t="n">
        <x:v>24</x:v>
      </x:c>
      <x:c r="H16" t="str">
        <x:v>P12-Y1A1</x:v>
      </x:c>
      <x:c r="I16" t="str">
        <x:v>P12-MPROGCLOSE</x:v>
      </x:c>
    </x:row>
  </x:sheetData>
  <x:pageMargins left="0.7" right="0.7" top="0.75" bottom="0.75" header="0.3" footer="0.3"/>
</x:worksheet>
</file>